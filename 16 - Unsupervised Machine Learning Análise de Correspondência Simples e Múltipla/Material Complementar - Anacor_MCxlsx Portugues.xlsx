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ege-my.sharepoint.com/personal/julianarozao_pecege_com/Documents/Área de Trabalho/Wilson Tarantin Junior 13.01.2026/Material complementar/"/>
    </mc:Choice>
  </mc:AlternateContent>
  <xr:revisionPtr revIDLastSave="0" documentId="13_ncr:1_{1B09FE84-A004-47B7-A7E0-E176556D822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dos" sheetId="1" r:id="rId1"/>
    <sheet name="Anac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" i="2" l="1"/>
  <c r="D128" i="2"/>
  <c r="C127" i="2"/>
  <c r="E117" i="2"/>
  <c r="D116" i="2"/>
  <c r="C115" i="2"/>
  <c r="C79" i="2"/>
  <c r="C80" i="2"/>
  <c r="D80" i="2"/>
  <c r="E79" i="2"/>
  <c r="E78" i="2"/>
  <c r="D78" i="2"/>
  <c r="C88" i="2"/>
  <c r="E88" i="2" s="1"/>
  <c r="C87" i="2"/>
  <c r="J162" i="2"/>
  <c r="J161" i="2"/>
  <c r="J160" i="2"/>
  <c r="J150" i="2"/>
  <c r="J149" i="2"/>
  <c r="J148" i="2"/>
  <c r="C162" i="2"/>
  <c r="C161" i="2"/>
  <c r="C160" i="2"/>
  <c r="C150" i="2"/>
  <c r="C149" i="2"/>
  <c r="C148" i="2"/>
  <c r="E7" i="2"/>
  <c r="D7" i="2"/>
  <c r="C7" i="2"/>
  <c r="E6" i="2"/>
  <c r="D6" i="2"/>
  <c r="C6" i="2"/>
  <c r="E5" i="2"/>
  <c r="D5" i="2"/>
  <c r="C5" i="2"/>
  <c r="E87" i="2" l="1"/>
  <c r="C89" i="2"/>
  <c r="D87" i="2" s="1"/>
  <c r="F5" i="2"/>
  <c r="F6" i="2"/>
  <c r="E8" i="2"/>
  <c r="F7" i="2"/>
  <c r="D8" i="2"/>
  <c r="C8" i="2"/>
  <c r="D88" i="2" l="1"/>
  <c r="D89" i="2" s="1"/>
  <c r="F8" i="2"/>
  <c r="C100" i="2" s="1"/>
  <c r="C108" i="2" s="1"/>
  <c r="J156" i="2" s="1"/>
  <c r="J144" i="2" l="1"/>
  <c r="C96" i="2"/>
  <c r="D105" i="2" s="1"/>
  <c r="D100" i="2"/>
  <c r="D109" i="2" s="1"/>
  <c r="C15" i="2"/>
  <c r="C24" i="2" s="1"/>
  <c r="C95" i="2"/>
  <c r="C104" i="2" s="1"/>
  <c r="E100" i="2"/>
  <c r="E110" i="2" s="1"/>
  <c r="C97" i="2"/>
  <c r="E106" i="2" s="1"/>
  <c r="E15" i="2"/>
  <c r="E24" i="2" s="1"/>
  <c r="C17" i="2"/>
  <c r="C26" i="2" s="1"/>
  <c r="E16" i="2"/>
  <c r="E25" i="2" s="1"/>
  <c r="D17" i="2"/>
  <c r="D26" i="2" s="1"/>
  <c r="D15" i="2"/>
  <c r="D24" i="2" s="1"/>
  <c r="E17" i="2"/>
  <c r="E26" i="2" s="1"/>
  <c r="D16" i="2"/>
  <c r="D25" i="2" s="1"/>
  <c r="C16" i="2"/>
  <c r="C25" i="2" s="1"/>
  <c r="C156" i="2" l="1"/>
  <c r="C144" i="2"/>
  <c r="K157" i="2"/>
  <c r="K145" i="2"/>
  <c r="E158" i="2"/>
  <c r="E146" i="2"/>
  <c r="D157" i="2"/>
  <c r="D145" i="2"/>
  <c r="L158" i="2"/>
  <c r="L146" i="2"/>
  <c r="C46" i="2"/>
  <c r="C55" i="2" s="1"/>
  <c r="C33" i="2"/>
  <c r="E35" i="2"/>
  <c r="E48" i="2"/>
  <c r="C35" i="2"/>
  <c r="C48" i="2"/>
  <c r="D34" i="2"/>
  <c r="D47" i="2"/>
  <c r="E34" i="2"/>
  <c r="E47" i="2"/>
  <c r="C34" i="2"/>
  <c r="C47" i="2"/>
  <c r="D35" i="2"/>
  <c r="D48" i="2"/>
  <c r="D33" i="2"/>
  <c r="D46" i="2"/>
  <c r="E33" i="2"/>
  <c r="E46" i="2"/>
  <c r="C152" i="2" l="1" a="1"/>
  <c r="C152" i="2" s="1"/>
  <c r="C172" i="2" s="1"/>
  <c r="J164" i="2" a="1"/>
  <c r="J165" i="2" s="1"/>
  <c r="D176" i="2" s="1"/>
  <c r="J152" i="2" a="1"/>
  <c r="J152" i="2" s="1"/>
  <c r="C175" i="2" s="1"/>
  <c r="C62" i="2"/>
  <c r="C164" i="2" a="1"/>
  <c r="D62" i="2"/>
  <c r="D55" i="2"/>
  <c r="C64" i="2"/>
  <c r="C57" i="2"/>
  <c r="D64" i="2"/>
  <c r="D57" i="2"/>
  <c r="E63" i="2"/>
  <c r="E56" i="2"/>
  <c r="E62" i="2"/>
  <c r="E55" i="2"/>
  <c r="C63" i="2"/>
  <c r="C56" i="2"/>
  <c r="D63" i="2"/>
  <c r="D56" i="2"/>
  <c r="E64" i="2"/>
  <c r="E57" i="2"/>
  <c r="C37" i="2"/>
  <c r="C38" i="2" s="1"/>
  <c r="C66" i="2" l="1" a="1"/>
  <c r="C154" i="2"/>
  <c r="C174" i="2" s="1"/>
  <c r="C153" i="2"/>
  <c r="C173" i="2" s="1"/>
  <c r="J166" i="2"/>
  <c r="D177" i="2" s="1"/>
  <c r="J164" i="2"/>
  <c r="D175" i="2" s="1"/>
  <c r="J153" i="2"/>
  <c r="C176" i="2" s="1"/>
  <c r="J154" i="2"/>
  <c r="C177" i="2" s="1"/>
  <c r="C164" i="2"/>
  <c r="D172" i="2" s="1"/>
  <c r="C165" i="2"/>
  <c r="D173" i="2" s="1"/>
  <c r="C166" i="2"/>
  <c r="D174" i="2" s="1"/>
  <c r="C66" i="2" l="1"/>
  <c r="E68" i="2"/>
  <c r="C68" i="2"/>
  <c r="E66" i="2"/>
  <c r="D67" i="2"/>
  <c r="C67" i="2"/>
  <c r="D66" i="2"/>
  <c r="D68" i="2"/>
  <c r="E67" i="2"/>
  <c r="C70" i="2" l="1" a="1"/>
  <c r="D72" i="2" l="1"/>
  <c r="E70" i="2"/>
  <c r="E127" i="2" s="1"/>
  <c r="C70" i="2"/>
  <c r="E72" i="2"/>
  <c r="E71" i="2"/>
  <c r="E116" i="2" s="1"/>
  <c r="C71" i="2"/>
  <c r="C116" i="2" s="1"/>
  <c r="C72" i="2"/>
  <c r="C129" i="2" s="1"/>
  <c r="D71" i="2"/>
  <c r="D70" i="2"/>
  <c r="D115" i="2" s="1"/>
  <c r="E115" i="2" l="1"/>
  <c r="C128" i="2"/>
  <c r="D127" i="2"/>
  <c r="E128" i="2"/>
  <c r="C117" i="2"/>
  <c r="D117" i="2"/>
  <c r="D129" i="2"/>
</calcChain>
</file>

<file path=xl/sharedStrings.xml><?xml version="1.0" encoding="utf-8"?>
<sst xmlns="http://schemas.openxmlformats.org/spreadsheetml/2006/main" count="445" uniqueCount="176">
  <si>
    <t>Estudante</t>
  </si>
  <si>
    <t>Perfil</t>
  </si>
  <si>
    <t>Gabriela</t>
  </si>
  <si>
    <t>Conservador</t>
  </si>
  <si>
    <t>Poupança</t>
  </si>
  <si>
    <t>Luiz Felipe</t>
  </si>
  <si>
    <t>Patrícia</t>
  </si>
  <si>
    <t>Gustavo</t>
  </si>
  <si>
    <t>Letícia</t>
  </si>
  <si>
    <t>Ovídio</t>
  </si>
  <si>
    <t>Leonor</t>
  </si>
  <si>
    <t>Dalila</t>
  </si>
  <si>
    <t>Antônio</t>
  </si>
  <si>
    <t>CDB</t>
  </si>
  <si>
    <t>Júlia</t>
  </si>
  <si>
    <t>Roberto</t>
  </si>
  <si>
    <t>Renata</t>
  </si>
  <si>
    <t>Guilherme</t>
  </si>
  <si>
    <t>Ações</t>
  </si>
  <si>
    <t>Rodrigo</t>
  </si>
  <si>
    <t>Giulia</t>
  </si>
  <si>
    <t>Felipe</t>
  </si>
  <si>
    <t>Karina</t>
  </si>
  <si>
    <t>Pietro</t>
  </si>
  <si>
    <t>Moderado</t>
  </si>
  <si>
    <t>Cecília</t>
  </si>
  <si>
    <t>Gisele</t>
  </si>
  <si>
    <t>Elaine</t>
  </si>
  <si>
    <t>Kamal</t>
  </si>
  <si>
    <t>Rodolfo</t>
  </si>
  <si>
    <t>Pilar</t>
  </si>
  <si>
    <t>Vivian</t>
  </si>
  <si>
    <t>Danielle</t>
  </si>
  <si>
    <t>Juliana</t>
  </si>
  <si>
    <t>Adriano</t>
  </si>
  <si>
    <t>Adelino</t>
  </si>
  <si>
    <t>Carolina</t>
  </si>
  <si>
    <t>Cristina</t>
  </si>
  <si>
    <t>Eduardo</t>
  </si>
  <si>
    <t>Zenilda</t>
  </si>
  <si>
    <t>Cintia</t>
  </si>
  <si>
    <t>Raimundo</t>
  </si>
  <si>
    <t>Luciana</t>
  </si>
  <si>
    <t>Emerson</t>
  </si>
  <si>
    <t>Raquel</t>
  </si>
  <si>
    <t>Anna Luiza</t>
  </si>
  <si>
    <t>Claudio</t>
  </si>
  <si>
    <t>Moara</t>
  </si>
  <si>
    <t>Fernanda</t>
  </si>
  <si>
    <t>Edson</t>
  </si>
  <si>
    <t>Agressivo</t>
  </si>
  <si>
    <t>Nuno</t>
  </si>
  <si>
    <t>Bráulio</t>
  </si>
  <si>
    <t>Marcelo</t>
  </si>
  <si>
    <t>Lucia</t>
  </si>
  <si>
    <t>Camilo</t>
  </si>
  <si>
    <t>Filomena</t>
  </si>
  <si>
    <t>Lídia</t>
  </si>
  <si>
    <t>Gilmar</t>
  </si>
  <si>
    <t>Itamar</t>
  </si>
  <si>
    <t>Tatiana</t>
  </si>
  <si>
    <t>Alessandra</t>
  </si>
  <si>
    <t>Ester</t>
  </si>
  <si>
    <t>Marcela</t>
  </si>
  <si>
    <t>Viviane</t>
  </si>
  <si>
    <t>Bianca</t>
  </si>
  <si>
    <t>Angélica</t>
  </si>
  <si>
    <t>Frederico</t>
  </si>
  <si>
    <t>Franklin</t>
  </si>
  <si>
    <t>Inácio</t>
  </si>
  <si>
    <t>Lilian</t>
  </si>
  <si>
    <t>Lucio</t>
  </si>
  <si>
    <t>Soraya</t>
  </si>
  <si>
    <t>Amanda</t>
  </si>
  <si>
    <t>Cristiane</t>
  </si>
  <si>
    <t>Cida</t>
  </si>
  <si>
    <t>Zilda</t>
  </si>
  <si>
    <t>Ana Lúcia</t>
  </si>
  <si>
    <t>Robson</t>
  </si>
  <si>
    <t>Renato</t>
  </si>
  <si>
    <t>Marina</t>
  </si>
  <si>
    <t>Flavia</t>
  </si>
  <si>
    <t>Adriana</t>
  </si>
  <si>
    <t>Alexandre</t>
  </si>
  <si>
    <t>Cleber</t>
  </si>
  <si>
    <t>Paola</t>
  </si>
  <si>
    <t>Ana Paula</t>
  </si>
  <si>
    <t>Andréa</t>
  </si>
  <si>
    <t>Shirley</t>
  </si>
  <si>
    <t>Edinalva</t>
  </si>
  <si>
    <t>Ernani</t>
  </si>
  <si>
    <t>Afonso</t>
  </si>
  <si>
    <t>Reinaldo</t>
  </si>
  <si>
    <t>César</t>
  </si>
  <si>
    <t>Bruna</t>
  </si>
  <si>
    <t>Márcia</t>
  </si>
  <si>
    <t>Fabiana</t>
  </si>
  <si>
    <t>Rebeca</t>
  </si>
  <si>
    <t>Sandra</t>
  </si>
  <si>
    <t>Geovani</t>
  </si>
  <si>
    <t>Rita</t>
  </si>
  <si>
    <t>Giovanna</t>
  </si>
  <si>
    <t>Jaqueline</t>
  </si>
  <si>
    <t>Sheila</t>
  </si>
  <si>
    <t>Pedro</t>
  </si>
  <si>
    <t>Horácio</t>
  </si>
  <si>
    <t>Leandro</t>
  </si>
  <si>
    <t>Estela</t>
  </si>
  <si>
    <t>Tipo de Aplicação</t>
  </si>
  <si>
    <t>Total</t>
  </si>
  <si>
    <t>Frequências absolutas observadas</t>
  </si>
  <si>
    <t>Frequências absolutas esperadas</t>
  </si>
  <si>
    <t>Resíduos</t>
  </si>
  <si>
    <t>χ² Total</t>
  </si>
  <si>
    <t>p-valor</t>
  </si>
  <si>
    <t>Resíduos padronizados</t>
  </si>
  <si>
    <t>nota: no exemplo, são 4 graus de liberdade (I-1)x(J-1).</t>
  </si>
  <si>
    <t>Matriz A' (Transposta)</t>
  </si>
  <si>
    <t>Matriz W = A' . A</t>
  </si>
  <si>
    <t>MASSAS</t>
  </si>
  <si>
    <t>Dimensão</t>
  </si>
  <si>
    <t>% Inércia</t>
  </si>
  <si>
    <t>Autovalores</t>
  </si>
  <si>
    <t>Valores χ²</t>
  </si>
  <si>
    <t>Autovetores</t>
  </si>
  <si>
    <t>Resíduos padronizados ajustados</t>
  </si>
  <si>
    <r>
      <t>D</t>
    </r>
    <r>
      <rPr>
        <b/>
        <i/>
        <sz val="11"/>
        <color theme="1"/>
        <rFont val="Calibri"/>
        <family val="2"/>
        <scheme val="minor"/>
      </rPr>
      <t>C</t>
    </r>
  </si>
  <si>
    <r>
      <t>D</t>
    </r>
    <r>
      <rPr>
        <b/>
        <i/>
        <sz val="11"/>
        <color theme="1"/>
        <rFont val="Calibri"/>
        <family val="2"/>
        <scheme val="minor"/>
      </rPr>
      <t>l</t>
    </r>
  </si>
  <si>
    <t>v1</t>
  </si>
  <si>
    <t>u1</t>
  </si>
  <si>
    <t>Coordenadas (scores)</t>
  </si>
  <si>
    <t>Variável em linha</t>
  </si>
  <si>
    <t>Variável em coluna</t>
  </si>
  <si>
    <t>v2</t>
  </si>
  <si>
    <t>u2</t>
  </si>
  <si>
    <t>Linha</t>
  </si>
  <si>
    <t>Coluna</t>
  </si>
  <si>
    <t>1ª dim (X)</t>
  </si>
  <si>
    <t>2ª dim (Y)</t>
  </si>
  <si>
    <t>Coordenadas</t>
  </si>
  <si>
    <t xml:space="preserve"> --&gt;</t>
  </si>
  <si>
    <t>Matriz A =                                 resíduos padronizados / raiz(n)</t>
  </si>
  <si>
    <t>Variável linha</t>
  </si>
  <si>
    <t>Variável coluna</t>
  </si>
  <si>
    <t>Massas - linhas e colunas</t>
  </si>
  <si>
    <t>Nota: Solução obtida no Python.</t>
  </si>
  <si>
    <t>Plotando o mapa perceptual</t>
  </si>
  <si>
    <t>X linha</t>
  </si>
  <si>
    <t>Y linha</t>
  </si>
  <si>
    <t>X coluna</t>
  </si>
  <si>
    <t>Y coluna</t>
  </si>
  <si>
    <t>Fávero, Luiz Paulo; Belfiore, Patrícia. (2024). Manual de análise de dados: estatística e machine learning com Excel®, SPSS®, Stata®, R® e Python®. 2 ed. Rio de Janeiro: LTC.</t>
  </si>
  <si>
    <t>Nota: solução obtida no Python.</t>
  </si>
  <si>
    <r>
      <t>λ</t>
    </r>
    <r>
      <rPr>
        <b/>
        <sz val="9.35"/>
        <color theme="1"/>
        <rFont val="Calibri"/>
        <family val="2"/>
        <scheme val="minor"/>
      </rPr>
      <t xml:space="preserve"> . I</t>
    </r>
  </si>
  <si>
    <t>λ</t>
  </si>
  <si>
    <r>
      <t>(W - λ</t>
    </r>
    <r>
      <rPr>
        <b/>
        <sz val="9.35"/>
        <color theme="1"/>
        <rFont val="Calibri"/>
        <family val="2"/>
        <scheme val="minor"/>
      </rPr>
      <t xml:space="preserve"> . I)</t>
    </r>
  </si>
  <si>
    <t>0,093 - λ</t>
  </si>
  <si>
    <t>0,052 - λ</t>
  </si>
  <si>
    <t>0,172 - λ</t>
  </si>
  <si>
    <t>det(W - λ . I) = 0</t>
  </si>
  <si>
    <t>λ 1</t>
  </si>
  <si>
    <t>λ 2</t>
  </si>
  <si>
    <r>
      <t>Valor Singular (</t>
    </r>
    <r>
      <rPr>
        <b/>
        <sz val="11"/>
        <color theme="1"/>
        <rFont val="Aptos Narrow"/>
        <family val="2"/>
      </rPr>
      <t>σ</t>
    </r>
    <r>
      <rPr>
        <b/>
        <sz val="9.35"/>
        <color theme="1"/>
        <rFont val="Calibri"/>
        <family val="2"/>
      </rPr>
      <t>)</t>
    </r>
  </si>
  <si>
    <t>Dimensão 1 (λ 1)</t>
  </si>
  <si>
    <t>Dimensão 2 (λ 2)</t>
  </si>
  <si>
    <t>-0,140 x v1 - 0,044 x v2 - 0,091 x v3 = 0</t>
  </si>
  <si>
    <t>-0,044 x v1 - 0,181 x v2 - 0,009 x v3 = 0</t>
  </si>
  <si>
    <t>-0,091 x v1 - 0,009 x v2 - 0,061 x v3 = 0</t>
  </si>
  <si>
    <t>-0,044 x v1 - 0,032 x v2 - 0,009 x v3 = 0</t>
  </si>
  <si>
    <t>-0,091 x v1 - 0,009 x v2 + 0,088 x v3 = 0</t>
  </si>
  <si>
    <t>0,009 x v1 - 0,044 x v2 - 0,091 x v3 = 0</t>
  </si>
  <si>
    <t>Autovalor (λ)</t>
  </si>
  <si>
    <r>
      <t>σ1 . (1/√D</t>
    </r>
    <r>
      <rPr>
        <b/>
        <i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)</t>
    </r>
  </si>
  <si>
    <t>σ2 . (1/√Dl)</t>
  </si>
  <si>
    <t>σ1 . (1/√Dc)</t>
  </si>
  <si>
    <t>σ2 . (1/√Dc)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</si>
</sst>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.3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9.35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2" fontId="0" fillId="5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10" fontId="1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2" fontId="1" fillId="11" borderId="1" xfId="0" applyNumberFormat="1" applyFon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165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Perfil</c:v>
          </c:tx>
          <c:spPr>
            <a:ln w="28575">
              <a:noFill/>
            </a:ln>
          </c:spPr>
          <c:dLbls>
            <c:dLbl>
              <c:idx val="0"/>
              <c:layout>
                <c:manualLayout>
                  <c:x val="2.0420419454710488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Agressivo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B02-44FF-9C90-27DD0B7979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Conservador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B02-44FF-9C90-27DD0B7979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1"/>
                      <a:t>Moderado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B02-44FF-9C90-27DD0B797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Anacor!$C$172:$C$174</c:f>
              <c:numCache>
                <c:formatCode>0.000</c:formatCode>
                <c:ptCount val="3"/>
                <c:pt idx="0">
                  <c:v>-0.396262576494814</c:v>
                </c:pt>
                <c:pt idx="1">
                  <c:v>0.7866481217811897</c:v>
                </c:pt>
                <c:pt idx="2">
                  <c:v>0.38440845704971871</c:v>
                </c:pt>
              </c:numCache>
            </c:numRef>
          </c:xVal>
          <c:yVal>
            <c:numRef>
              <c:f>Anacor!$D$172:$D$174</c:f>
              <c:numCache>
                <c:formatCode>0.000</c:formatCode>
                <c:ptCount val="3"/>
                <c:pt idx="0">
                  <c:v>-6.5512970956612404E-2</c:v>
                </c:pt>
                <c:pt idx="1">
                  <c:v>-0.43379998287065735</c:v>
                </c:pt>
                <c:pt idx="2">
                  <c:v>0.44697408016006668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02-44FF-9C90-27DD0B79796F}"/>
            </c:ext>
          </c:extLst>
        </c:ser>
        <c:ser>
          <c:idx val="1"/>
          <c:order val="1"/>
          <c:tx>
            <c:v>Aplicação</c:v>
          </c:tx>
          <c:spPr>
            <a:ln w="28575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Ações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B02-44FF-9C90-27DD0B7979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CDB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B02-44FF-9C90-27DD0B7979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1"/>
                      <a:t>Poupança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B02-44FF-9C90-27DD0B797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Anacor!$C$175:$C$177</c:f>
              <c:numCache>
                <c:formatCode>0.000</c:formatCode>
                <c:ptCount val="3"/>
                <c:pt idx="0">
                  <c:v>-0.40469178754333307</c:v>
                </c:pt>
                <c:pt idx="1">
                  <c:v>7.1019369896939882E-2</c:v>
                </c:pt>
                <c:pt idx="2">
                  <c:v>1.0246903686422795</c:v>
                </c:pt>
              </c:numCache>
            </c:numRef>
          </c:xVal>
          <c:yVal>
            <c:numRef>
              <c:f>Anacor!$D$175:$D$177</c:f>
              <c:numCache>
                <c:formatCode>0.000</c:formatCode>
                <c:ptCount val="3"/>
                <c:pt idx="0">
                  <c:v>-0.20952211240620444</c:v>
                </c:pt>
                <c:pt idx="1">
                  <c:v>0.35329067226550992</c:v>
                </c:pt>
                <c:pt idx="2">
                  <c:v>-0.31354211902467738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02-44FF-9C90-27DD0B797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27808"/>
        <c:axId val="100329344"/>
      </c:scatterChart>
      <c:valAx>
        <c:axId val="10032780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pt-BR"/>
          </a:p>
        </c:txPr>
        <c:crossAx val="100329344"/>
        <c:crosses val="autoZero"/>
        <c:crossBetween val="midCat"/>
      </c:valAx>
      <c:valAx>
        <c:axId val="10032934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pt-BR"/>
          </a:p>
        </c:txPr>
        <c:crossAx val="100327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67233</xdr:colOff>
      <xdr:row>177</xdr:row>
      <xdr:rowOff>100853</xdr:rowOff>
    </xdr:from>
    <xdr:to>
      <xdr:col>7</xdr:col>
      <xdr:colOff>78440</xdr:colOff>
      <xdr:row>198</xdr:row>
      <xdr:rowOff>89647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showGridLines="0" zoomScale="85" zoomScaleNormal="85" workbookViewId="0"/>
  </sheetViews>
  <sheetFormatPr defaultColWidth="9.109375" defaultRowHeight="14.4" x14ac:dyDescent="0.3"/>
  <cols>
    <col min="1" max="3" width="18.6640625" style="2" customWidth="1"/>
    <col min="4" max="16384" width="9.109375" style="1"/>
  </cols>
  <sheetData>
    <row r="1" spans="1:3" x14ac:dyDescent="0.3">
      <c r="A1" s="41" t="s">
        <v>0</v>
      </c>
      <c r="B1" s="41" t="s">
        <v>1</v>
      </c>
      <c r="C1" s="41" t="s">
        <v>108</v>
      </c>
    </row>
    <row r="2" spans="1:3" x14ac:dyDescent="0.3">
      <c r="A2" s="3" t="s">
        <v>2</v>
      </c>
      <c r="B2" s="3" t="s">
        <v>3</v>
      </c>
      <c r="C2" s="3" t="s">
        <v>4</v>
      </c>
    </row>
    <row r="3" spans="1:3" x14ac:dyDescent="0.3">
      <c r="A3" s="3" t="s">
        <v>5</v>
      </c>
      <c r="B3" s="3" t="s">
        <v>3</v>
      </c>
      <c r="C3" s="3" t="s">
        <v>4</v>
      </c>
    </row>
    <row r="4" spans="1:3" x14ac:dyDescent="0.3">
      <c r="A4" s="3" t="s">
        <v>6</v>
      </c>
      <c r="B4" s="3" t="s">
        <v>3</v>
      </c>
      <c r="C4" s="3" t="s">
        <v>4</v>
      </c>
    </row>
    <row r="5" spans="1:3" x14ac:dyDescent="0.3">
      <c r="A5" s="3" t="s">
        <v>7</v>
      </c>
      <c r="B5" s="3" t="s">
        <v>3</v>
      </c>
      <c r="C5" s="3" t="s">
        <v>4</v>
      </c>
    </row>
    <row r="6" spans="1:3" x14ac:dyDescent="0.3">
      <c r="A6" s="3" t="s">
        <v>8</v>
      </c>
      <c r="B6" s="3" t="s">
        <v>3</v>
      </c>
      <c r="C6" s="3" t="s">
        <v>4</v>
      </c>
    </row>
    <row r="7" spans="1:3" x14ac:dyDescent="0.3">
      <c r="A7" s="3" t="s">
        <v>9</v>
      </c>
      <c r="B7" s="3" t="s">
        <v>3</v>
      </c>
      <c r="C7" s="3" t="s">
        <v>4</v>
      </c>
    </row>
    <row r="8" spans="1:3" x14ac:dyDescent="0.3">
      <c r="A8" s="3" t="s">
        <v>10</v>
      </c>
      <c r="B8" s="3" t="s">
        <v>3</v>
      </c>
      <c r="C8" s="3" t="s">
        <v>4</v>
      </c>
    </row>
    <row r="9" spans="1:3" x14ac:dyDescent="0.3">
      <c r="A9" s="3" t="s">
        <v>11</v>
      </c>
      <c r="B9" s="3" t="s">
        <v>3</v>
      </c>
      <c r="C9" s="3" t="s">
        <v>4</v>
      </c>
    </row>
    <row r="10" spans="1:3" x14ac:dyDescent="0.3">
      <c r="A10" s="3" t="s">
        <v>12</v>
      </c>
      <c r="B10" s="3" t="s">
        <v>3</v>
      </c>
      <c r="C10" s="3" t="s">
        <v>13</v>
      </c>
    </row>
    <row r="11" spans="1:3" x14ac:dyDescent="0.3">
      <c r="A11" s="3" t="s">
        <v>14</v>
      </c>
      <c r="B11" s="3" t="s">
        <v>3</v>
      </c>
      <c r="C11" s="3" t="s">
        <v>13</v>
      </c>
    </row>
    <row r="12" spans="1:3" x14ac:dyDescent="0.3">
      <c r="A12" s="3" t="s">
        <v>15</v>
      </c>
      <c r="B12" s="3" t="s">
        <v>3</v>
      </c>
      <c r="C12" s="3" t="s">
        <v>13</v>
      </c>
    </row>
    <row r="13" spans="1:3" x14ac:dyDescent="0.3">
      <c r="A13" s="3" t="s">
        <v>16</v>
      </c>
      <c r="B13" s="3" t="s">
        <v>3</v>
      </c>
      <c r="C13" s="3" t="s">
        <v>13</v>
      </c>
    </row>
    <row r="14" spans="1:3" x14ac:dyDescent="0.3">
      <c r="A14" s="3" t="s">
        <v>17</v>
      </c>
      <c r="B14" s="3" t="s">
        <v>3</v>
      </c>
      <c r="C14" s="3" t="s">
        <v>18</v>
      </c>
    </row>
    <row r="15" spans="1:3" x14ac:dyDescent="0.3">
      <c r="A15" s="3" t="s">
        <v>19</v>
      </c>
      <c r="B15" s="3" t="s">
        <v>3</v>
      </c>
      <c r="C15" s="3" t="s">
        <v>18</v>
      </c>
    </row>
    <row r="16" spans="1:3" x14ac:dyDescent="0.3">
      <c r="A16" s="3" t="s">
        <v>20</v>
      </c>
      <c r="B16" s="3" t="s">
        <v>3</v>
      </c>
      <c r="C16" s="3" t="s">
        <v>18</v>
      </c>
    </row>
    <row r="17" spans="1:3" x14ac:dyDescent="0.3">
      <c r="A17" s="3" t="s">
        <v>21</v>
      </c>
      <c r="B17" s="3" t="s">
        <v>3</v>
      </c>
      <c r="C17" s="3" t="s">
        <v>18</v>
      </c>
    </row>
    <row r="18" spans="1:3" x14ac:dyDescent="0.3">
      <c r="A18" s="3" t="s">
        <v>22</v>
      </c>
      <c r="B18" s="3" t="s">
        <v>3</v>
      </c>
      <c r="C18" s="3" t="s">
        <v>18</v>
      </c>
    </row>
    <row r="19" spans="1:3" x14ac:dyDescent="0.3">
      <c r="A19" s="3" t="s">
        <v>23</v>
      </c>
      <c r="B19" s="3" t="s">
        <v>24</v>
      </c>
      <c r="C19" s="3" t="s">
        <v>4</v>
      </c>
    </row>
    <row r="20" spans="1:3" x14ac:dyDescent="0.3">
      <c r="A20" s="3" t="s">
        <v>25</v>
      </c>
      <c r="B20" s="3" t="s">
        <v>24</v>
      </c>
      <c r="C20" s="3" t="s">
        <v>4</v>
      </c>
    </row>
    <row r="21" spans="1:3" x14ac:dyDescent="0.3">
      <c r="A21" s="3" t="s">
        <v>26</v>
      </c>
      <c r="B21" s="3" t="s">
        <v>24</v>
      </c>
      <c r="C21" s="3" t="s">
        <v>4</v>
      </c>
    </row>
    <row r="22" spans="1:3" x14ac:dyDescent="0.3">
      <c r="A22" s="3" t="s">
        <v>27</v>
      </c>
      <c r="B22" s="3" t="s">
        <v>24</v>
      </c>
      <c r="C22" s="3" t="s">
        <v>4</v>
      </c>
    </row>
    <row r="23" spans="1:3" x14ac:dyDescent="0.3">
      <c r="A23" s="3" t="s">
        <v>28</v>
      </c>
      <c r="B23" s="3" t="s">
        <v>24</v>
      </c>
      <c r="C23" s="3" t="s">
        <v>4</v>
      </c>
    </row>
    <row r="24" spans="1:3" x14ac:dyDescent="0.3">
      <c r="A24" s="3" t="s">
        <v>29</v>
      </c>
      <c r="B24" s="3" t="s">
        <v>24</v>
      </c>
      <c r="C24" s="3" t="s">
        <v>13</v>
      </c>
    </row>
    <row r="25" spans="1:3" x14ac:dyDescent="0.3">
      <c r="A25" s="3" t="s">
        <v>30</v>
      </c>
      <c r="B25" s="3" t="s">
        <v>24</v>
      </c>
      <c r="C25" s="3" t="s">
        <v>13</v>
      </c>
    </row>
    <row r="26" spans="1:3" x14ac:dyDescent="0.3">
      <c r="A26" s="3" t="s">
        <v>31</v>
      </c>
      <c r="B26" s="3" t="s">
        <v>24</v>
      </c>
      <c r="C26" s="3" t="s">
        <v>13</v>
      </c>
    </row>
    <row r="27" spans="1:3" x14ac:dyDescent="0.3">
      <c r="A27" s="3" t="s">
        <v>32</v>
      </c>
      <c r="B27" s="3" t="s">
        <v>24</v>
      </c>
      <c r="C27" s="3" t="s">
        <v>13</v>
      </c>
    </row>
    <row r="28" spans="1:3" x14ac:dyDescent="0.3">
      <c r="A28" s="3" t="s">
        <v>33</v>
      </c>
      <c r="B28" s="3" t="s">
        <v>24</v>
      </c>
      <c r="C28" s="3" t="s">
        <v>13</v>
      </c>
    </row>
    <row r="29" spans="1:3" x14ac:dyDescent="0.3">
      <c r="A29" s="3" t="s">
        <v>34</v>
      </c>
      <c r="B29" s="3" t="s">
        <v>24</v>
      </c>
      <c r="C29" s="3" t="s">
        <v>13</v>
      </c>
    </row>
    <row r="30" spans="1:3" x14ac:dyDescent="0.3">
      <c r="A30" s="3" t="s">
        <v>35</v>
      </c>
      <c r="B30" s="3" t="s">
        <v>24</v>
      </c>
      <c r="C30" s="3" t="s">
        <v>13</v>
      </c>
    </row>
    <row r="31" spans="1:3" x14ac:dyDescent="0.3">
      <c r="A31" s="3" t="s">
        <v>36</v>
      </c>
      <c r="B31" s="3" t="s">
        <v>24</v>
      </c>
      <c r="C31" s="3" t="s">
        <v>13</v>
      </c>
    </row>
    <row r="32" spans="1:3" x14ac:dyDescent="0.3">
      <c r="A32" s="3" t="s">
        <v>37</v>
      </c>
      <c r="B32" s="3" t="s">
        <v>24</v>
      </c>
      <c r="C32" s="3" t="s">
        <v>13</v>
      </c>
    </row>
    <row r="33" spans="1:3" x14ac:dyDescent="0.3">
      <c r="A33" s="3" t="s">
        <v>38</v>
      </c>
      <c r="B33" s="3" t="s">
        <v>24</v>
      </c>
      <c r="C33" s="3" t="s">
        <v>13</v>
      </c>
    </row>
    <row r="34" spans="1:3" x14ac:dyDescent="0.3">
      <c r="A34" s="3" t="s">
        <v>39</v>
      </c>
      <c r="B34" s="3" t="s">
        <v>24</v>
      </c>
      <c r="C34" s="3" t="s">
        <v>13</v>
      </c>
    </row>
    <row r="35" spans="1:3" x14ac:dyDescent="0.3">
      <c r="A35" s="3" t="s">
        <v>40</v>
      </c>
      <c r="B35" s="3" t="s">
        <v>24</v>
      </c>
      <c r="C35" s="3" t="s">
        <v>13</v>
      </c>
    </row>
    <row r="36" spans="1:3" x14ac:dyDescent="0.3">
      <c r="A36" s="3" t="s">
        <v>41</v>
      </c>
      <c r="B36" s="3" t="s">
        <v>24</v>
      </c>
      <c r="C36" s="3" t="s">
        <v>13</v>
      </c>
    </row>
    <row r="37" spans="1:3" x14ac:dyDescent="0.3">
      <c r="A37" s="3" t="s">
        <v>42</v>
      </c>
      <c r="B37" s="3" t="s">
        <v>24</v>
      </c>
      <c r="C37" s="3" t="s">
        <v>13</v>
      </c>
    </row>
    <row r="38" spans="1:3" x14ac:dyDescent="0.3">
      <c r="A38" s="3" t="s">
        <v>43</v>
      </c>
      <c r="B38" s="3" t="s">
        <v>24</v>
      </c>
      <c r="C38" s="3" t="s">
        <v>13</v>
      </c>
    </row>
    <row r="39" spans="1:3" x14ac:dyDescent="0.3">
      <c r="A39" s="3" t="s">
        <v>44</v>
      </c>
      <c r="B39" s="3" t="s">
        <v>24</v>
      </c>
      <c r="C39" s="3" t="s">
        <v>13</v>
      </c>
    </row>
    <row r="40" spans="1:3" x14ac:dyDescent="0.3">
      <c r="A40" s="3" t="s">
        <v>45</v>
      </c>
      <c r="B40" s="3" t="s">
        <v>24</v>
      </c>
      <c r="C40" s="3" t="s">
        <v>18</v>
      </c>
    </row>
    <row r="41" spans="1:3" x14ac:dyDescent="0.3">
      <c r="A41" s="3" t="s">
        <v>46</v>
      </c>
      <c r="B41" s="3" t="s">
        <v>24</v>
      </c>
      <c r="C41" s="3" t="s">
        <v>18</v>
      </c>
    </row>
    <row r="42" spans="1:3" x14ac:dyDescent="0.3">
      <c r="A42" s="3" t="s">
        <v>47</v>
      </c>
      <c r="B42" s="3" t="s">
        <v>24</v>
      </c>
      <c r="C42" s="3" t="s">
        <v>18</v>
      </c>
    </row>
    <row r="43" spans="1:3" x14ac:dyDescent="0.3">
      <c r="A43" s="3" t="s">
        <v>48</v>
      </c>
      <c r="B43" s="3" t="s">
        <v>24</v>
      </c>
      <c r="C43" s="3" t="s">
        <v>18</v>
      </c>
    </row>
    <row r="44" spans="1:3" x14ac:dyDescent="0.3">
      <c r="A44" s="3" t="s">
        <v>49</v>
      </c>
      <c r="B44" s="3" t="s">
        <v>50</v>
      </c>
      <c r="C44" s="3" t="s">
        <v>4</v>
      </c>
    </row>
    <row r="45" spans="1:3" x14ac:dyDescent="0.3">
      <c r="A45" s="3" t="s">
        <v>51</v>
      </c>
      <c r="B45" s="3" t="s">
        <v>50</v>
      </c>
      <c r="C45" s="3" t="s">
        <v>4</v>
      </c>
    </row>
    <row r="46" spans="1:3" x14ac:dyDescent="0.3">
      <c r="A46" s="3" t="s">
        <v>52</v>
      </c>
      <c r="B46" s="3" t="s">
        <v>50</v>
      </c>
      <c r="C46" s="3" t="s">
        <v>13</v>
      </c>
    </row>
    <row r="47" spans="1:3" x14ac:dyDescent="0.3">
      <c r="A47" s="3" t="s">
        <v>53</v>
      </c>
      <c r="B47" s="3" t="s">
        <v>50</v>
      </c>
      <c r="C47" s="3" t="s">
        <v>13</v>
      </c>
    </row>
    <row r="48" spans="1:3" x14ac:dyDescent="0.3">
      <c r="A48" s="3" t="s">
        <v>54</v>
      </c>
      <c r="B48" s="3" t="s">
        <v>50</v>
      </c>
      <c r="C48" s="3" t="s">
        <v>13</v>
      </c>
    </row>
    <row r="49" spans="1:3" x14ac:dyDescent="0.3">
      <c r="A49" s="3" t="s">
        <v>55</v>
      </c>
      <c r="B49" s="3" t="s">
        <v>50</v>
      </c>
      <c r="C49" s="3" t="s">
        <v>13</v>
      </c>
    </row>
    <row r="50" spans="1:3" x14ac:dyDescent="0.3">
      <c r="A50" s="3" t="s">
        <v>56</v>
      </c>
      <c r="B50" s="3" t="s">
        <v>50</v>
      </c>
      <c r="C50" s="3" t="s">
        <v>13</v>
      </c>
    </row>
    <row r="51" spans="1:3" x14ac:dyDescent="0.3">
      <c r="A51" s="3" t="s">
        <v>57</v>
      </c>
      <c r="B51" s="3" t="s">
        <v>50</v>
      </c>
      <c r="C51" s="3" t="s">
        <v>13</v>
      </c>
    </row>
    <row r="52" spans="1:3" x14ac:dyDescent="0.3">
      <c r="A52" s="3" t="s">
        <v>58</v>
      </c>
      <c r="B52" s="3" t="s">
        <v>50</v>
      </c>
      <c r="C52" s="3" t="s">
        <v>13</v>
      </c>
    </row>
    <row r="53" spans="1:3" x14ac:dyDescent="0.3">
      <c r="A53" s="3" t="s">
        <v>59</v>
      </c>
      <c r="B53" s="3" t="s">
        <v>50</v>
      </c>
      <c r="C53" s="3" t="s">
        <v>13</v>
      </c>
    </row>
    <row r="54" spans="1:3" x14ac:dyDescent="0.3">
      <c r="A54" s="3" t="s">
        <v>60</v>
      </c>
      <c r="B54" s="3" t="s">
        <v>50</v>
      </c>
      <c r="C54" s="3" t="s">
        <v>13</v>
      </c>
    </row>
    <row r="55" spans="1:3" x14ac:dyDescent="0.3">
      <c r="A55" s="3" t="s">
        <v>61</v>
      </c>
      <c r="B55" s="3" t="s">
        <v>50</v>
      </c>
      <c r="C55" s="3" t="s">
        <v>13</v>
      </c>
    </row>
    <row r="56" spans="1:3" x14ac:dyDescent="0.3">
      <c r="A56" s="3" t="s">
        <v>62</v>
      </c>
      <c r="B56" s="3" t="s">
        <v>50</v>
      </c>
      <c r="C56" s="3" t="s">
        <v>13</v>
      </c>
    </row>
    <row r="57" spans="1:3" x14ac:dyDescent="0.3">
      <c r="A57" s="3" t="s">
        <v>63</v>
      </c>
      <c r="B57" s="3" t="s">
        <v>50</v>
      </c>
      <c r="C57" s="3" t="s">
        <v>13</v>
      </c>
    </row>
    <row r="58" spans="1:3" x14ac:dyDescent="0.3">
      <c r="A58" s="3" t="s">
        <v>64</v>
      </c>
      <c r="B58" s="3" t="s">
        <v>50</v>
      </c>
      <c r="C58" s="3" t="s">
        <v>13</v>
      </c>
    </row>
    <row r="59" spans="1:3" x14ac:dyDescent="0.3">
      <c r="A59" s="3" t="s">
        <v>65</v>
      </c>
      <c r="B59" s="3" t="s">
        <v>50</v>
      </c>
      <c r="C59" s="3" t="s">
        <v>13</v>
      </c>
    </row>
    <row r="60" spans="1:3" x14ac:dyDescent="0.3">
      <c r="A60" s="3" t="s">
        <v>66</v>
      </c>
      <c r="B60" s="3" t="s">
        <v>50</v>
      </c>
      <c r="C60" s="3" t="s">
        <v>13</v>
      </c>
    </row>
    <row r="61" spans="1:3" x14ac:dyDescent="0.3">
      <c r="A61" s="3" t="s">
        <v>67</v>
      </c>
      <c r="B61" s="3" t="s">
        <v>50</v>
      </c>
      <c r="C61" s="3" t="s">
        <v>13</v>
      </c>
    </row>
    <row r="62" spans="1:3" x14ac:dyDescent="0.3">
      <c r="A62" s="3" t="s">
        <v>68</v>
      </c>
      <c r="B62" s="3" t="s">
        <v>50</v>
      </c>
      <c r="C62" s="3" t="s">
        <v>13</v>
      </c>
    </row>
    <row r="63" spans="1:3" x14ac:dyDescent="0.3">
      <c r="A63" s="3" t="s">
        <v>69</v>
      </c>
      <c r="B63" s="3" t="s">
        <v>50</v>
      </c>
      <c r="C63" s="3" t="s">
        <v>13</v>
      </c>
    </row>
    <row r="64" spans="1:3" x14ac:dyDescent="0.3">
      <c r="A64" s="3" t="s">
        <v>70</v>
      </c>
      <c r="B64" s="3" t="s">
        <v>50</v>
      </c>
      <c r="C64" s="3" t="s">
        <v>13</v>
      </c>
    </row>
    <row r="65" spans="1:3" x14ac:dyDescent="0.3">
      <c r="A65" s="3" t="s">
        <v>71</v>
      </c>
      <c r="B65" s="3" t="s">
        <v>50</v>
      </c>
      <c r="C65" s="3" t="s">
        <v>13</v>
      </c>
    </row>
    <row r="66" spans="1:3" x14ac:dyDescent="0.3">
      <c r="A66" s="3" t="s">
        <v>72</v>
      </c>
      <c r="B66" s="3" t="s">
        <v>50</v>
      </c>
      <c r="C66" s="3" t="s">
        <v>18</v>
      </c>
    </row>
    <row r="67" spans="1:3" x14ac:dyDescent="0.3">
      <c r="A67" s="3" t="s">
        <v>73</v>
      </c>
      <c r="B67" s="3" t="s">
        <v>50</v>
      </c>
      <c r="C67" s="3" t="s">
        <v>18</v>
      </c>
    </row>
    <row r="68" spans="1:3" x14ac:dyDescent="0.3">
      <c r="A68" s="3" t="s">
        <v>74</v>
      </c>
      <c r="B68" s="3" t="s">
        <v>50</v>
      </c>
      <c r="C68" s="3" t="s">
        <v>18</v>
      </c>
    </row>
    <row r="69" spans="1:3" x14ac:dyDescent="0.3">
      <c r="A69" s="3" t="s">
        <v>75</v>
      </c>
      <c r="B69" s="3" t="s">
        <v>50</v>
      </c>
      <c r="C69" s="3" t="s">
        <v>18</v>
      </c>
    </row>
    <row r="70" spans="1:3" x14ac:dyDescent="0.3">
      <c r="A70" s="3" t="s">
        <v>76</v>
      </c>
      <c r="B70" s="3" t="s">
        <v>50</v>
      </c>
      <c r="C70" s="3" t="s">
        <v>18</v>
      </c>
    </row>
    <row r="71" spans="1:3" x14ac:dyDescent="0.3">
      <c r="A71" s="3" t="s">
        <v>77</v>
      </c>
      <c r="B71" s="3" t="s">
        <v>50</v>
      </c>
      <c r="C71" s="3" t="s">
        <v>18</v>
      </c>
    </row>
    <row r="72" spans="1:3" x14ac:dyDescent="0.3">
      <c r="A72" s="3" t="s">
        <v>78</v>
      </c>
      <c r="B72" s="3" t="s">
        <v>50</v>
      </c>
      <c r="C72" s="3" t="s">
        <v>18</v>
      </c>
    </row>
    <row r="73" spans="1:3" x14ac:dyDescent="0.3">
      <c r="A73" s="3" t="s">
        <v>79</v>
      </c>
      <c r="B73" s="3" t="s">
        <v>50</v>
      </c>
      <c r="C73" s="3" t="s">
        <v>18</v>
      </c>
    </row>
    <row r="74" spans="1:3" x14ac:dyDescent="0.3">
      <c r="A74" s="3" t="s">
        <v>80</v>
      </c>
      <c r="B74" s="3" t="s">
        <v>50</v>
      </c>
      <c r="C74" s="3" t="s">
        <v>18</v>
      </c>
    </row>
    <row r="75" spans="1:3" x14ac:dyDescent="0.3">
      <c r="A75" s="3" t="s">
        <v>81</v>
      </c>
      <c r="B75" s="3" t="s">
        <v>50</v>
      </c>
      <c r="C75" s="3" t="s">
        <v>18</v>
      </c>
    </row>
    <row r="76" spans="1:3" x14ac:dyDescent="0.3">
      <c r="A76" s="3" t="s">
        <v>82</v>
      </c>
      <c r="B76" s="3" t="s">
        <v>50</v>
      </c>
      <c r="C76" s="3" t="s">
        <v>18</v>
      </c>
    </row>
    <row r="77" spans="1:3" x14ac:dyDescent="0.3">
      <c r="A77" s="3" t="s">
        <v>83</v>
      </c>
      <c r="B77" s="3" t="s">
        <v>50</v>
      </c>
      <c r="C77" s="3" t="s">
        <v>18</v>
      </c>
    </row>
    <row r="78" spans="1:3" x14ac:dyDescent="0.3">
      <c r="A78" s="3" t="s">
        <v>84</v>
      </c>
      <c r="B78" s="3" t="s">
        <v>50</v>
      </c>
      <c r="C78" s="3" t="s">
        <v>18</v>
      </c>
    </row>
    <row r="79" spans="1:3" x14ac:dyDescent="0.3">
      <c r="A79" s="3" t="s">
        <v>85</v>
      </c>
      <c r="B79" s="3" t="s">
        <v>50</v>
      </c>
      <c r="C79" s="3" t="s">
        <v>18</v>
      </c>
    </row>
    <row r="80" spans="1:3" x14ac:dyDescent="0.3">
      <c r="A80" s="3" t="s">
        <v>86</v>
      </c>
      <c r="B80" s="3" t="s">
        <v>50</v>
      </c>
      <c r="C80" s="3" t="s">
        <v>18</v>
      </c>
    </row>
    <row r="81" spans="1:3" x14ac:dyDescent="0.3">
      <c r="A81" s="3" t="s">
        <v>87</v>
      </c>
      <c r="B81" s="3" t="s">
        <v>50</v>
      </c>
      <c r="C81" s="3" t="s">
        <v>18</v>
      </c>
    </row>
    <row r="82" spans="1:3" x14ac:dyDescent="0.3">
      <c r="A82" s="3" t="s">
        <v>88</v>
      </c>
      <c r="B82" s="3" t="s">
        <v>50</v>
      </c>
      <c r="C82" s="3" t="s">
        <v>18</v>
      </c>
    </row>
    <row r="83" spans="1:3" x14ac:dyDescent="0.3">
      <c r="A83" s="3" t="s">
        <v>89</v>
      </c>
      <c r="B83" s="3" t="s">
        <v>50</v>
      </c>
      <c r="C83" s="3" t="s">
        <v>18</v>
      </c>
    </row>
    <row r="84" spans="1:3" x14ac:dyDescent="0.3">
      <c r="A84" s="3" t="s">
        <v>90</v>
      </c>
      <c r="B84" s="3" t="s">
        <v>50</v>
      </c>
      <c r="C84" s="3" t="s">
        <v>18</v>
      </c>
    </row>
    <row r="85" spans="1:3" x14ac:dyDescent="0.3">
      <c r="A85" s="3" t="s">
        <v>91</v>
      </c>
      <c r="B85" s="3" t="s">
        <v>50</v>
      </c>
      <c r="C85" s="3" t="s">
        <v>18</v>
      </c>
    </row>
    <row r="86" spans="1:3" x14ac:dyDescent="0.3">
      <c r="A86" s="3" t="s">
        <v>92</v>
      </c>
      <c r="B86" s="3" t="s">
        <v>50</v>
      </c>
      <c r="C86" s="3" t="s">
        <v>18</v>
      </c>
    </row>
    <row r="87" spans="1:3" x14ac:dyDescent="0.3">
      <c r="A87" s="3" t="s">
        <v>93</v>
      </c>
      <c r="B87" s="3" t="s">
        <v>50</v>
      </c>
      <c r="C87" s="3" t="s">
        <v>18</v>
      </c>
    </row>
    <row r="88" spans="1:3" x14ac:dyDescent="0.3">
      <c r="A88" s="3" t="s">
        <v>94</v>
      </c>
      <c r="B88" s="3" t="s">
        <v>50</v>
      </c>
      <c r="C88" s="3" t="s">
        <v>18</v>
      </c>
    </row>
    <row r="89" spans="1:3" x14ac:dyDescent="0.3">
      <c r="A89" s="3" t="s">
        <v>95</v>
      </c>
      <c r="B89" s="3" t="s">
        <v>50</v>
      </c>
      <c r="C89" s="3" t="s">
        <v>18</v>
      </c>
    </row>
    <row r="90" spans="1:3" x14ac:dyDescent="0.3">
      <c r="A90" s="3" t="s">
        <v>96</v>
      </c>
      <c r="B90" s="3" t="s">
        <v>50</v>
      </c>
      <c r="C90" s="3" t="s">
        <v>18</v>
      </c>
    </row>
    <row r="91" spans="1:3" x14ac:dyDescent="0.3">
      <c r="A91" s="3" t="s">
        <v>97</v>
      </c>
      <c r="B91" s="3" t="s">
        <v>50</v>
      </c>
      <c r="C91" s="3" t="s">
        <v>18</v>
      </c>
    </row>
    <row r="92" spans="1:3" x14ac:dyDescent="0.3">
      <c r="A92" s="3" t="s">
        <v>98</v>
      </c>
      <c r="B92" s="3" t="s">
        <v>50</v>
      </c>
      <c r="C92" s="3" t="s">
        <v>18</v>
      </c>
    </row>
    <row r="93" spans="1:3" x14ac:dyDescent="0.3">
      <c r="A93" s="3" t="s">
        <v>99</v>
      </c>
      <c r="B93" s="3" t="s">
        <v>50</v>
      </c>
      <c r="C93" s="3" t="s">
        <v>18</v>
      </c>
    </row>
    <row r="94" spans="1:3" x14ac:dyDescent="0.3">
      <c r="A94" s="3" t="s">
        <v>100</v>
      </c>
      <c r="B94" s="3" t="s">
        <v>50</v>
      </c>
      <c r="C94" s="3" t="s">
        <v>18</v>
      </c>
    </row>
    <row r="95" spans="1:3" x14ac:dyDescent="0.3">
      <c r="A95" s="3" t="s">
        <v>101</v>
      </c>
      <c r="B95" s="3" t="s">
        <v>50</v>
      </c>
      <c r="C95" s="3" t="s">
        <v>18</v>
      </c>
    </row>
    <row r="96" spans="1:3" x14ac:dyDescent="0.3">
      <c r="A96" s="3" t="s">
        <v>102</v>
      </c>
      <c r="B96" s="3" t="s">
        <v>50</v>
      </c>
      <c r="C96" s="3" t="s">
        <v>18</v>
      </c>
    </row>
    <row r="97" spans="1:3" x14ac:dyDescent="0.3">
      <c r="A97" s="3" t="s">
        <v>103</v>
      </c>
      <c r="B97" s="3" t="s">
        <v>50</v>
      </c>
      <c r="C97" s="3" t="s">
        <v>18</v>
      </c>
    </row>
    <row r="98" spans="1:3" x14ac:dyDescent="0.3">
      <c r="A98" s="3" t="s">
        <v>104</v>
      </c>
      <c r="B98" s="3" t="s">
        <v>50</v>
      </c>
      <c r="C98" s="3" t="s">
        <v>18</v>
      </c>
    </row>
    <row r="99" spans="1:3" x14ac:dyDescent="0.3">
      <c r="A99" s="3" t="s">
        <v>105</v>
      </c>
      <c r="B99" s="3" t="s">
        <v>50</v>
      </c>
      <c r="C99" s="3" t="s">
        <v>18</v>
      </c>
    </row>
    <row r="100" spans="1:3" x14ac:dyDescent="0.3">
      <c r="A100" s="3" t="s">
        <v>106</v>
      </c>
      <c r="B100" s="3" t="s">
        <v>50</v>
      </c>
      <c r="C100" s="3" t="s">
        <v>18</v>
      </c>
    </row>
    <row r="101" spans="1:3" x14ac:dyDescent="0.3">
      <c r="A101" s="3" t="s">
        <v>107</v>
      </c>
      <c r="B101" s="3" t="s">
        <v>50</v>
      </c>
      <c r="C101" s="3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7"/>
  <sheetViews>
    <sheetView showGridLines="0" tabSelected="1" zoomScale="85" zoomScaleNormal="85" workbookViewId="0">
      <selection sqref="A1:F1"/>
    </sheetView>
  </sheetViews>
  <sheetFormatPr defaultColWidth="9.109375" defaultRowHeight="14.4" x14ac:dyDescent="0.3"/>
  <cols>
    <col min="1" max="6" width="15.6640625" style="1" customWidth="1"/>
    <col min="7" max="7" width="7.88671875" style="1" customWidth="1"/>
    <col min="8" max="13" width="15.88671875" style="1" customWidth="1"/>
    <col min="14" max="16384" width="9.109375" style="1"/>
  </cols>
  <sheetData>
    <row r="1" spans="1:14" ht="15" customHeight="1" x14ac:dyDescent="0.3">
      <c r="A1" s="80" t="s">
        <v>110</v>
      </c>
      <c r="B1" s="80"/>
      <c r="C1" s="80"/>
      <c r="D1" s="80"/>
      <c r="E1" s="80"/>
      <c r="F1" s="80"/>
      <c r="I1" s="81" t="s">
        <v>151</v>
      </c>
      <c r="J1" s="82"/>
      <c r="K1" s="82"/>
      <c r="L1" s="83"/>
      <c r="M1" s="34"/>
      <c r="N1" s="34"/>
    </row>
    <row r="2" spans="1:14" ht="7.5" customHeight="1" x14ac:dyDescent="0.3">
      <c r="I2" s="84"/>
      <c r="J2" s="85"/>
      <c r="K2" s="85"/>
      <c r="L2" s="86"/>
      <c r="M2" s="34"/>
      <c r="N2" s="34"/>
    </row>
    <row r="3" spans="1:14" ht="15" customHeight="1" x14ac:dyDescent="0.3">
      <c r="C3" s="75" t="s">
        <v>108</v>
      </c>
      <c r="D3" s="75"/>
      <c r="E3" s="75"/>
      <c r="F3" s="75"/>
      <c r="I3" s="84"/>
      <c r="J3" s="85"/>
      <c r="K3" s="85"/>
      <c r="L3" s="86"/>
      <c r="M3" s="34"/>
      <c r="N3" s="34"/>
    </row>
    <row r="4" spans="1:14" ht="15" customHeight="1" x14ac:dyDescent="0.3">
      <c r="C4" s="14" t="s">
        <v>18</v>
      </c>
      <c r="D4" s="14" t="s">
        <v>13</v>
      </c>
      <c r="E4" s="14" t="s">
        <v>4</v>
      </c>
      <c r="F4" s="15" t="s">
        <v>109</v>
      </c>
      <c r="I4" s="87"/>
      <c r="J4" s="88"/>
      <c r="K4" s="88"/>
      <c r="L4" s="89"/>
      <c r="M4" s="34"/>
      <c r="N4" s="34"/>
    </row>
    <row r="5" spans="1:14" ht="15" customHeight="1" x14ac:dyDescent="0.3">
      <c r="A5" s="75" t="s">
        <v>1</v>
      </c>
      <c r="B5" s="16" t="s">
        <v>50</v>
      </c>
      <c r="C5" s="3">
        <f>+COUNTIFS(Dados!$B:$B,Anacor!$B5,Dados!$C:$C,Anacor!C$4)</f>
        <v>36</v>
      </c>
      <c r="D5" s="3">
        <f>+COUNTIFS(Dados!$B:$B,Anacor!$B5,Dados!$C:$C,Anacor!D$4)</f>
        <v>20</v>
      </c>
      <c r="E5" s="3">
        <f>+COUNTIFS(Dados!$B:$B,Anacor!$B5,Dados!$C:$C,Anacor!E$4)</f>
        <v>2</v>
      </c>
      <c r="F5" s="4">
        <f>+SUM(C5:E5)</f>
        <v>58</v>
      </c>
      <c r="I5" s="34"/>
      <c r="J5" s="34"/>
      <c r="K5" s="34"/>
      <c r="L5" s="34"/>
      <c r="M5" s="34"/>
      <c r="N5" s="34"/>
    </row>
    <row r="6" spans="1:14" ht="15" customHeight="1" x14ac:dyDescent="0.3">
      <c r="A6" s="75"/>
      <c r="B6" s="16" t="s">
        <v>3</v>
      </c>
      <c r="C6" s="3">
        <f>+COUNTIFS(Dados!$B:$B,Anacor!$B6,Dados!$C:$C,Anacor!C$4)</f>
        <v>5</v>
      </c>
      <c r="D6" s="3">
        <f>+COUNTIFS(Dados!$B:$B,Anacor!$B6,Dados!$C:$C,Anacor!D$4)</f>
        <v>4</v>
      </c>
      <c r="E6" s="3">
        <f>+COUNTIFS(Dados!$B:$B,Anacor!$B6,Dados!$C:$C,Anacor!E$4)</f>
        <v>8</v>
      </c>
      <c r="F6" s="4">
        <f>+SUM(C6:E6)</f>
        <v>17</v>
      </c>
      <c r="I6" s="34"/>
      <c r="J6" s="34"/>
      <c r="K6" s="34"/>
      <c r="L6" s="34"/>
      <c r="M6" s="34"/>
      <c r="N6" s="34"/>
    </row>
    <row r="7" spans="1:14" x14ac:dyDescent="0.3">
      <c r="A7" s="75"/>
      <c r="B7" s="16" t="s">
        <v>24</v>
      </c>
      <c r="C7" s="3">
        <f>+COUNTIFS(Dados!$B:$B,Anacor!$B7,Dados!$C:$C,Anacor!C$4)</f>
        <v>4</v>
      </c>
      <c r="D7" s="3">
        <f>+COUNTIFS(Dados!$B:$B,Anacor!$B7,Dados!$C:$C,Anacor!D$4)</f>
        <v>16</v>
      </c>
      <c r="E7" s="3">
        <f>+COUNTIFS(Dados!$B:$B,Anacor!$B7,Dados!$C:$C,Anacor!E$4)</f>
        <v>5</v>
      </c>
      <c r="F7" s="4">
        <f>+SUM(C7:E7)</f>
        <v>25</v>
      </c>
    </row>
    <row r="8" spans="1:14" x14ac:dyDescent="0.3">
      <c r="A8" s="75"/>
      <c r="B8" s="16" t="s">
        <v>109</v>
      </c>
      <c r="C8" s="4">
        <f>+SUM(C5:C7)</f>
        <v>45</v>
      </c>
      <c r="D8" s="4">
        <f t="shared" ref="D8:F8" si="0">+SUM(D5:D7)</f>
        <v>40</v>
      </c>
      <c r="E8" s="4">
        <f t="shared" si="0"/>
        <v>15</v>
      </c>
      <c r="F8" s="4">
        <f t="shared" si="0"/>
        <v>100</v>
      </c>
    </row>
    <row r="9" spans="1:14" x14ac:dyDescent="0.3">
      <c r="A9" s="2"/>
      <c r="B9" s="6"/>
      <c r="C9" s="7"/>
      <c r="D9" s="7"/>
      <c r="E9" s="7"/>
      <c r="F9" s="7"/>
    </row>
    <row r="11" spans="1:14" x14ac:dyDescent="0.3">
      <c r="A11" s="80" t="s">
        <v>111</v>
      </c>
      <c r="B11" s="80"/>
      <c r="C11" s="80"/>
      <c r="D11" s="80"/>
      <c r="E11" s="80"/>
      <c r="F11" s="80"/>
    </row>
    <row r="12" spans="1:14" ht="7.5" customHeight="1" x14ac:dyDescent="0.3"/>
    <row r="13" spans="1:14" x14ac:dyDescent="0.3">
      <c r="C13" s="72" t="s">
        <v>108</v>
      </c>
      <c r="D13" s="73"/>
      <c r="E13" s="74"/>
    </row>
    <row r="14" spans="1:14" x14ac:dyDescent="0.3">
      <c r="C14" s="14" t="s">
        <v>18</v>
      </c>
      <c r="D14" s="14" t="s">
        <v>13</v>
      </c>
      <c r="E14" s="14" t="s">
        <v>4</v>
      </c>
    </row>
    <row r="15" spans="1:14" x14ac:dyDescent="0.3">
      <c r="A15" s="75" t="s">
        <v>1</v>
      </c>
      <c r="B15" s="16" t="s">
        <v>50</v>
      </c>
      <c r="C15" s="5">
        <f>($F5*C$8)/$F$8</f>
        <v>26.1</v>
      </c>
      <c r="D15" s="5">
        <f t="shared" ref="D15:E15" si="1">($F5*D$8)/$F$8</f>
        <v>23.2</v>
      </c>
      <c r="E15" s="5">
        <f t="shared" si="1"/>
        <v>8.6999999999999993</v>
      </c>
    </row>
    <row r="16" spans="1:14" x14ac:dyDescent="0.3">
      <c r="A16" s="75"/>
      <c r="B16" s="16" t="s">
        <v>3</v>
      </c>
      <c r="C16" s="5">
        <f t="shared" ref="C16:E16" si="2">($F6*C$8)/$F$8</f>
        <v>7.65</v>
      </c>
      <c r="D16" s="5">
        <f t="shared" si="2"/>
        <v>6.8</v>
      </c>
      <c r="E16" s="5">
        <f t="shared" si="2"/>
        <v>2.5499999999999998</v>
      </c>
    </row>
    <row r="17" spans="1:6" x14ac:dyDescent="0.3">
      <c r="A17" s="75"/>
      <c r="B17" s="16" t="s">
        <v>24</v>
      </c>
      <c r="C17" s="5">
        <f t="shared" ref="C17:E17" si="3">($F7*C$8)/$F$8</f>
        <v>11.25</v>
      </c>
      <c r="D17" s="5">
        <f t="shared" si="3"/>
        <v>10</v>
      </c>
      <c r="E17" s="5">
        <f t="shared" si="3"/>
        <v>3.75</v>
      </c>
    </row>
    <row r="18" spans="1:6" x14ac:dyDescent="0.3">
      <c r="A18" s="2"/>
      <c r="B18" s="6"/>
      <c r="C18" s="8"/>
      <c r="D18" s="8"/>
      <c r="E18" s="8"/>
    </row>
    <row r="20" spans="1:6" x14ac:dyDescent="0.3">
      <c r="A20" s="80" t="s">
        <v>112</v>
      </c>
      <c r="B20" s="80"/>
      <c r="C20" s="80"/>
      <c r="D20" s="80"/>
      <c r="E20" s="80"/>
      <c r="F20" s="80"/>
    </row>
    <row r="21" spans="1:6" ht="7.5" customHeight="1" x14ac:dyDescent="0.3"/>
    <row r="22" spans="1:6" x14ac:dyDescent="0.3">
      <c r="C22" s="72" t="s">
        <v>108</v>
      </c>
      <c r="D22" s="73"/>
      <c r="E22" s="74"/>
    </row>
    <row r="23" spans="1:6" x14ac:dyDescent="0.3">
      <c r="C23" s="14" t="s">
        <v>18</v>
      </c>
      <c r="D23" s="14" t="s">
        <v>13</v>
      </c>
      <c r="E23" s="14" t="s">
        <v>4</v>
      </c>
    </row>
    <row r="24" spans="1:6" x14ac:dyDescent="0.3">
      <c r="A24" s="75" t="s">
        <v>1</v>
      </c>
      <c r="B24" s="16" t="s">
        <v>50</v>
      </c>
      <c r="C24" s="5">
        <f t="shared" ref="C24:E26" si="4">+C5-C15</f>
        <v>9.8999999999999986</v>
      </c>
      <c r="D24" s="5">
        <f t="shared" si="4"/>
        <v>-3.1999999999999993</v>
      </c>
      <c r="E24" s="5">
        <f t="shared" si="4"/>
        <v>-6.6999999999999993</v>
      </c>
    </row>
    <row r="25" spans="1:6" x14ac:dyDescent="0.3">
      <c r="A25" s="75"/>
      <c r="B25" s="16" t="s">
        <v>3</v>
      </c>
      <c r="C25" s="5">
        <f t="shared" si="4"/>
        <v>-2.6500000000000004</v>
      </c>
      <c r="D25" s="5">
        <f t="shared" si="4"/>
        <v>-2.8</v>
      </c>
      <c r="E25" s="5">
        <f t="shared" si="4"/>
        <v>5.45</v>
      </c>
    </row>
    <row r="26" spans="1:6" x14ac:dyDescent="0.3">
      <c r="A26" s="75"/>
      <c r="B26" s="16" t="s">
        <v>24</v>
      </c>
      <c r="C26" s="5">
        <f t="shared" si="4"/>
        <v>-7.25</v>
      </c>
      <c r="D26" s="5">
        <f t="shared" si="4"/>
        <v>6</v>
      </c>
      <c r="E26" s="5">
        <f t="shared" si="4"/>
        <v>1.25</v>
      </c>
    </row>
    <row r="27" spans="1:6" x14ac:dyDescent="0.3">
      <c r="A27" s="2"/>
      <c r="B27" s="6"/>
      <c r="C27" s="8"/>
      <c r="D27" s="8"/>
      <c r="E27" s="8"/>
    </row>
    <row r="29" spans="1:6" x14ac:dyDescent="0.3">
      <c r="A29" s="80" t="s">
        <v>123</v>
      </c>
      <c r="B29" s="80"/>
      <c r="C29" s="80"/>
      <c r="D29" s="80"/>
      <c r="E29" s="80"/>
      <c r="F29" s="80"/>
    </row>
    <row r="30" spans="1:6" ht="7.5" customHeight="1" x14ac:dyDescent="0.3"/>
    <row r="31" spans="1:6" x14ac:dyDescent="0.3">
      <c r="C31" s="72" t="s">
        <v>108</v>
      </c>
      <c r="D31" s="73"/>
      <c r="E31" s="74"/>
    </row>
    <row r="32" spans="1:6" x14ac:dyDescent="0.3">
      <c r="C32" s="14" t="s">
        <v>18</v>
      </c>
      <c r="D32" s="14" t="s">
        <v>13</v>
      </c>
      <c r="E32" s="14" t="s">
        <v>4</v>
      </c>
    </row>
    <row r="33" spans="1:6" x14ac:dyDescent="0.3">
      <c r="A33" s="75" t="s">
        <v>1</v>
      </c>
      <c r="B33" s="16" t="s">
        <v>50</v>
      </c>
      <c r="C33" s="5">
        <f>(C24^2)/C15</f>
        <v>3.7551724137931024</v>
      </c>
      <c r="D33" s="5">
        <f t="shared" ref="D33:E33" si="5">(D24^2)/D15</f>
        <v>0.44137931034482736</v>
      </c>
      <c r="E33" s="5">
        <f t="shared" si="5"/>
        <v>5.1597701149425284</v>
      </c>
    </row>
    <row r="34" spans="1:6" x14ac:dyDescent="0.3">
      <c r="A34" s="75"/>
      <c r="B34" s="16" t="s">
        <v>3</v>
      </c>
      <c r="C34" s="5">
        <f t="shared" ref="C34:E34" si="6">(C25^2)/C16</f>
        <v>0.91797385620915051</v>
      </c>
      <c r="D34" s="5">
        <f t="shared" si="6"/>
        <v>1.1529411764705881</v>
      </c>
      <c r="E34" s="5">
        <f t="shared" si="6"/>
        <v>11.648039215686275</v>
      </c>
    </row>
    <row r="35" spans="1:6" x14ac:dyDescent="0.3">
      <c r="A35" s="75"/>
      <c r="B35" s="16" t="s">
        <v>24</v>
      </c>
      <c r="C35" s="5">
        <f t="shared" ref="C35:E35" si="7">(C26^2)/C17</f>
        <v>4.6722222222222225</v>
      </c>
      <c r="D35" s="5">
        <f t="shared" si="7"/>
        <v>3.6</v>
      </c>
      <c r="E35" s="5">
        <f t="shared" si="7"/>
        <v>0.41666666666666669</v>
      </c>
    </row>
    <row r="37" spans="1:6" x14ac:dyDescent="0.3">
      <c r="B37" s="9" t="s">
        <v>113</v>
      </c>
      <c r="C37" s="10">
        <f>+SUM(C33:E35)</f>
        <v>31.764164976335362</v>
      </c>
    </row>
    <row r="38" spans="1:6" x14ac:dyDescent="0.3">
      <c r="B38" s="11" t="s">
        <v>114</v>
      </c>
      <c r="C38" s="12">
        <f>CHIDIST(C37,4)</f>
        <v>2.1375940513813992E-6</v>
      </c>
    </row>
    <row r="39" spans="1:6" x14ac:dyDescent="0.3">
      <c r="B39" s="13" t="s">
        <v>116</v>
      </c>
    </row>
    <row r="42" spans="1:6" x14ac:dyDescent="0.3">
      <c r="A42" s="80" t="s">
        <v>115</v>
      </c>
      <c r="B42" s="80"/>
      <c r="C42" s="80"/>
      <c r="D42" s="80"/>
      <c r="E42" s="80"/>
      <c r="F42" s="80"/>
    </row>
    <row r="43" spans="1:6" ht="7.5" customHeight="1" x14ac:dyDescent="0.3"/>
    <row r="44" spans="1:6" x14ac:dyDescent="0.3">
      <c r="C44" s="72" t="s">
        <v>108</v>
      </c>
      <c r="D44" s="73"/>
      <c r="E44" s="74"/>
    </row>
    <row r="45" spans="1:6" x14ac:dyDescent="0.3">
      <c r="C45" s="14" t="s">
        <v>18</v>
      </c>
      <c r="D45" s="14" t="s">
        <v>13</v>
      </c>
      <c r="E45" s="14" t="s">
        <v>4</v>
      </c>
    </row>
    <row r="46" spans="1:6" x14ac:dyDescent="0.3">
      <c r="A46" s="75" t="s">
        <v>1</v>
      </c>
      <c r="B46" s="16" t="s">
        <v>50</v>
      </c>
      <c r="C46" s="5">
        <f>+C24/SQRT(C15)</f>
        <v>1.9378267243985212</v>
      </c>
      <c r="D46" s="5">
        <f t="shared" ref="D46:E46" si="8">+D24/SQRT(D15)</f>
        <v>-0.66436383882991956</v>
      </c>
      <c r="E46" s="5">
        <f t="shared" si="8"/>
        <v>-2.271512737129715</v>
      </c>
    </row>
    <row r="47" spans="1:6" x14ac:dyDescent="0.3">
      <c r="A47" s="75"/>
      <c r="B47" s="16" t="s">
        <v>3</v>
      </c>
      <c r="C47" s="5">
        <f t="shared" ref="C47:E47" si="9">+C25/SQRT(C16)</f>
        <v>-0.95810952203239808</v>
      </c>
      <c r="D47" s="5">
        <f t="shared" si="9"/>
        <v>-1.0737509843863184</v>
      </c>
      <c r="E47" s="5">
        <f t="shared" si="9"/>
        <v>3.4129223864140648</v>
      </c>
    </row>
    <row r="48" spans="1:6" x14ac:dyDescent="0.3">
      <c r="A48" s="75"/>
      <c r="B48" s="16" t="s">
        <v>24</v>
      </c>
      <c r="C48" s="5">
        <f t="shared" ref="C48:E48" si="10">+C26/SQRT(C17)</f>
        <v>-2.1615323782497966</v>
      </c>
      <c r="D48" s="5">
        <f t="shared" si="10"/>
        <v>1.8973665961010275</v>
      </c>
      <c r="E48" s="5">
        <f t="shared" si="10"/>
        <v>0.6454972243679028</v>
      </c>
    </row>
    <row r="51" spans="1:6" x14ac:dyDescent="0.3">
      <c r="A51" s="80" t="s">
        <v>125</v>
      </c>
      <c r="B51" s="80"/>
      <c r="C51" s="80"/>
      <c r="D51" s="80"/>
      <c r="E51" s="80"/>
      <c r="F51" s="80"/>
    </row>
    <row r="52" spans="1:6" ht="8.25" customHeight="1" x14ac:dyDescent="0.3"/>
    <row r="53" spans="1:6" x14ac:dyDescent="0.3">
      <c r="C53" s="72" t="s">
        <v>108</v>
      </c>
      <c r="D53" s="73"/>
      <c r="E53" s="74"/>
    </row>
    <row r="54" spans="1:6" x14ac:dyDescent="0.3">
      <c r="C54" s="14" t="s">
        <v>18</v>
      </c>
      <c r="D54" s="14" t="s">
        <v>13</v>
      </c>
      <c r="E54" s="14" t="s">
        <v>4</v>
      </c>
    </row>
    <row r="55" spans="1:6" x14ac:dyDescent="0.3">
      <c r="A55" s="75" t="s">
        <v>1</v>
      </c>
      <c r="B55" s="16" t="s">
        <v>50</v>
      </c>
      <c r="C55" s="17">
        <f>+C46/SQRT((1-(C$8/$F$8))*(1-($F5/$F$8)))</f>
        <v>4.0318925624907189</v>
      </c>
      <c r="D55" s="5">
        <f t="shared" ref="D55:E55" si="11">+D46/SQRT((1-(D$8/$F$8))*(1-($F5/$F$8)))</f>
        <v>-1.3234444452945735</v>
      </c>
      <c r="E55" s="5">
        <f t="shared" si="11"/>
        <v>-3.8017282355357587</v>
      </c>
    </row>
    <row r="56" spans="1:6" x14ac:dyDescent="0.3">
      <c r="A56" s="75"/>
      <c r="B56" s="16" t="s">
        <v>3</v>
      </c>
      <c r="C56" s="5">
        <f t="shared" ref="C56:E56" si="12">+C47/SQRT((1-(C$8/$F$8))*(1-($F6/$F$8)))</f>
        <v>-1.4180605179048729</v>
      </c>
      <c r="D56" s="5">
        <f t="shared" si="12"/>
        <v>-1.5215593726962267</v>
      </c>
      <c r="E56" s="17">
        <f t="shared" si="12"/>
        <v>4.0632907827745939</v>
      </c>
    </row>
    <row r="57" spans="1:6" x14ac:dyDescent="0.3">
      <c r="A57" s="75"/>
      <c r="B57" s="16" t="s">
        <v>24</v>
      </c>
      <c r="C57" s="5">
        <f t="shared" ref="C57:E57" si="13">+C48/SQRT((1-(C$8/$F$8))*(1-($F7/$F$8)))</f>
        <v>-3.3655013484768248</v>
      </c>
      <c r="D57" s="17">
        <f t="shared" si="13"/>
        <v>2.8284271247461898</v>
      </c>
      <c r="E57" s="5">
        <f t="shared" si="13"/>
        <v>0.8084520834544433</v>
      </c>
    </row>
    <row r="60" spans="1:6" x14ac:dyDescent="0.3">
      <c r="A60" s="57" t="s">
        <v>122</v>
      </c>
      <c r="B60" s="57"/>
      <c r="C60" s="57"/>
      <c r="D60" s="57"/>
      <c r="E60" s="57"/>
      <c r="F60" s="57"/>
    </row>
    <row r="61" spans="1:6" ht="8.25" customHeight="1" x14ac:dyDescent="0.3"/>
    <row r="62" spans="1:6" x14ac:dyDescent="0.3">
      <c r="A62" s="90" t="s">
        <v>141</v>
      </c>
      <c r="B62" s="90"/>
      <c r="C62" s="21">
        <f t="shared" ref="C62:E64" si="14">+C46/SQRT($F$8)</f>
        <v>0.19378267243985212</v>
      </c>
      <c r="D62" s="21">
        <f t="shared" si="14"/>
        <v>-6.6436383882991959E-2</v>
      </c>
      <c r="E62" s="21">
        <f t="shared" si="14"/>
        <v>-0.2271512737129715</v>
      </c>
    </row>
    <row r="63" spans="1:6" x14ac:dyDescent="0.3">
      <c r="A63" s="90"/>
      <c r="B63" s="90"/>
      <c r="C63" s="21">
        <f t="shared" si="14"/>
        <v>-9.5810952203239805E-2</v>
      </c>
      <c r="D63" s="21">
        <f t="shared" si="14"/>
        <v>-0.10737509843863184</v>
      </c>
      <c r="E63" s="21">
        <f t="shared" si="14"/>
        <v>0.34129223864140645</v>
      </c>
    </row>
    <row r="64" spans="1:6" x14ac:dyDescent="0.3">
      <c r="A64" s="90"/>
      <c r="B64" s="90"/>
      <c r="C64" s="21">
        <f t="shared" si="14"/>
        <v>-0.21615323782497967</v>
      </c>
      <c r="D64" s="21">
        <f t="shared" si="14"/>
        <v>0.18973665961010275</v>
      </c>
      <c r="E64" s="21">
        <f t="shared" si="14"/>
        <v>6.4549722436790274E-2</v>
      </c>
    </row>
    <row r="66" spans="1:5" x14ac:dyDescent="0.3">
      <c r="A66" s="56" t="s">
        <v>117</v>
      </c>
      <c r="B66" s="56"/>
      <c r="C66" s="21">
        <f t="array" ref="C66:E68">TRANSPOSE(C62:E64)</f>
        <v>0.19378267243985212</v>
      </c>
      <c r="D66" s="21">
        <v>-9.5810952203239805E-2</v>
      </c>
      <c r="E66" s="21">
        <v>-0.21615323782497967</v>
      </c>
    </row>
    <row r="67" spans="1:5" x14ac:dyDescent="0.3">
      <c r="A67" s="56"/>
      <c r="B67" s="56"/>
      <c r="C67" s="21">
        <v>-6.6436383882991959E-2</v>
      </c>
      <c r="D67" s="21">
        <v>-0.10737509843863184</v>
      </c>
      <c r="E67" s="21">
        <v>0.18973665961010275</v>
      </c>
    </row>
    <row r="68" spans="1:5" x14ac:dyDescent="0.3">
      <c r="A68" s="56"/>
      <c r="B68" s="56"/>
      <c r="C68" s="21">
        <v>-0.2271512737129715</v>
      </c>
      <c r="D68" s="21">
        <v>0.34129223864140645</v>
      </c>
      <c r="E68" s="21">
        <v>6.4549722436790274E-2</v>
      </c>
    </row>
    <row r="70" spans="1:5" x14ac:dyDescent="0.3">
      <c r="A70" s="56" t="s">
        <v>118</v>
      </c>
      <c r="B70" s="56"/>
      <c r="C70" s="21">
        <f t="array" ref="C70:E72">MMULT(C66:E68,C62:E64)</f>
        <v>9.3453684922244748E-2</v>
      </c>
      <c r="D70" s="21">
        <v>-4.359870290058393E-2</v>
      </c>
      <c r="E70" s="21">
        <v>-9.0670146737440407E-2</v>
      </c>
    </row>
    <row r="71" spans="1:5" x14ac:dyDescent="0.3">
      <c r="A71" s="56"/>
      <c r="B71" s="56"/>
      <c r="C71" s="21">
        <v>-4.359870290058393E-2</v>
      </c>
      <c r="D71" s="21">
        <v>5.1943204868154152E-2</v>
      </c>
      <c r="E71" s="21">
        <v>-9.307729786640604E-3</v>
      </c>
    </row>
    <row r="72" spans="1:5" x14ac:dyDescent="0.3">
      <c r="A72" s="56"/>
      <c r="B72" s="56"/>
      <c r="C72" s="21">
        <v>-9.0670146737440407E-2</v>
      </c>
      <c r="D72" s="21">
        <v>-9.307729786640604E-3</v>
      </c>
      <c r="E72" s="21">
        <v>0.17224475997295469</v>
      </c>
    </row>
    <row r="74" spans="1:5" x14ac:dyDescent="0.3">
      <c r="A74" s="56" t="s">
        <v>153</v>
      </c>
      <c r="B74" s="56"/>
      <c r="C74" s="5" t="s">
        <v>154</v>
      </c>
      <c r="D74" s="20">
        <v>0</v>
      </c>
      <c r="E74" s="20">
        <v>0</v>
      </c>
    </row>
    <row r="75" spans="1:5" x14ac:dyDescent="0.3">
      <c r="A75" s="56"/>
      <c r="B75" s="56"/>
      <c r="C75" s="20">
        <v>0</v>
      </c>
      <c r="D75" s="5" t="s">
        <v>154</v>
      </c>
      <c r="E75" s="20">
        <v>0</v>
      </c>
    </row>
    <row r="76" spans="1:5" x14ac:dyDescent="0.3">
      <c r="A76" s="56"/>
      <c r="B76" s="56"/>
      <c r="C76" s="20">
        <v>0</v>
      </c>
      <c r="D76" s="20">
        <v>0</v>
      </c>
      <c r="E76" s="5" t="s">
        <v>154</v>
      </c>
    </row>
    <row r="78" spans="1:5" x14ac:dyDescent="0.3">
      <c r="A78" s="56" t="s">
        <v>155</v>
      </c>
      <c r="B78" s="56"/>
      <c r="C78" s="21" t="s">
        <v>156</v>
      </c>
      <c r="D78" s="21">
        <f>D70-D74</f>
        <v>-4.359870290058393E-2</v>
      </c>
      <c r="E78" s="21">
        <f>E70-E74</f>
        <v>-9.0670146737440407E-2</v>
      </c>
    </row>
    <row r="79" spans="1:5" x14ac:dyDescent="0.3">
      <c r="A79" s="56"/>
      <c r="B79" s="56"/>
      <c r="C79" s="21">
        <f>C71-C75</f>
        <v>-4.359870290058393E-2</v>
      </c>
      <c r="D79" s="21" t="s">
        <v>157</v>
      </c>
      <c r="E79" s="21">
        <f>E71-E75</f>
        <v>-9.307729786640604E-3</v>
      </c>
    </row>
    <row r="80" spans="1:5" x14ac:dyDescent="0.3">
      <c r="A80" s="56"/>
      <c r="B80" s="56"/>
      <c r="C80" s="21">
        <f>C72-C76</f>
        <v>-9.0670146737440407E-2</v>
      </c>
      <c r="D80" s="21">
        <f>D72-D76</f>
        <v>-9.307729786640604E-3</v>
      </c>
      <c r="E80" s="21" t="s">
        <v>158</v>
      </c>
    </row>
    <row r="82" spans="1:6" x14ac:dyDescent="0.3">
      <c r="A82" s="76" t="s">
        <v>159</v>
      </c>
      <c r="B82" s="77"/>
      <c r="C82" s="22" t="s">
        <v>160</v>
      </c>
      <c r="D82" s="37">
        <v>0.23321500000000001</v>
      </c>
    </row>
    <row r="83" spans="1:6" x14ac:dyDescent="0.3">
      <c r="A83" s="78"/>
      <c r="B83" s="79"/>
      <c r="C83" s="22" t="s">
        <v>161</v>
      </c>
      <c r="D83" s="37">
        <v>8.4426799999999996E-2</v>
      </c>
    </row>
    <row r="84" spans="1:6" x14ac:dyDescent="0.3">
      <c r="A84" s="13" t="s">
        <v>152</v>
      </c>
      <c r="B84" s="2"/>
      <c r="C84" s="8"/>
      <c r="D84" s="35"/>
    </row>
    <row r="86" spans="1:6" x14ac:dyDescent="0.3">
      <c r="A86" s="71" t="s">
        <v>120</v>
      </c>
      <c r="B86" s="71"/>
      <c r="C86" s="23" t="s">
        <v>171</v>
      </c>
      <c r="D86" s="23" t="s">
        <v>121</v>
      </c>
      <c r="E86" s="23" t="s">
        <v>162</v>
      </c>
    </row>
    <row r="87" spans="1:6" x14ac:dyDescent="0.3">
      <c r="A87" s="71">
        <v>1</v>
      </c>
      <c r="B87" s="71"/>
      <c r="C87" s="21">
        <f>+D82</f>
        <v>0.23321500000000001</v>
      </c>
      <c r="D87" s="24">
        <f>+C87/$C$89</f>
        <v>0.73420752558384961</v>
      </c>
      <c r="E87" s="21">
        <f>SQRT(C87)</f>
        <v>0.48292338936936985</v>
      </c>
    </row>
    <row r="88" spans="1:6" x14ac:dyDescent="0.3">
      <c r="A88" s="71">
        <v>2</v>
      </c>
      <c r="B88" s="71"/>
      <c r="C88" s="21">
        <f>+D83</f>
        <v>8.4426799999999996E-2</v>
      </c>
      <c r="D88" s="24">
        <f>+C88/$C$89</f>
        <v>0.2657924744161505</v>
      </c>
      <c r="E88" s="21">
        <f>SQRT(C88)</f>
        <v>0.29056290196788714</v>
      </c>
    </row>
    <row r="89" spans="1:6" x14ac:dyDescent="0.3">
      <c r="A89" s="71" t="s">
        <v>109</v>
      </c>
      <c r="B89" s="71"/>
      <c r="C89" s="38">
        <f>+SUM(C87:C88)</f>
        <v>0.31764179999999997</v>
      </c>
      <c r="D89" s="24">
        <f>+SUM(D87:D88)</f>
        <v>1</v>
      </c>
      <c r="E89" s="26"/>
    </row>
    <row r="92" spans="1:6" x14ac:dyDescent="0.3">
      <c r="A92" s="57" t="s">
        <v>144</v>
      </c>
      <c r="B92" s="57"/>
      <c r="C92" s="57"/>
      <c r="D92" s="57"/>
      <c r="E92" s="57"/>
      <c r="F92" s="57"/>
    </row>
    <row r="93" spans="1:6" ht="7.5" customHeight="1" x14ac:dyDescent="0.3"/>
    <row r="94" spans="1:6" x14ac:dyDescent="0.3">
      <c r="C94" s="18" t="s">
        <v>119</v>
      </c>
      <c r="D94" s="2"/>
      <c r="E94" s="2"/>
    </row>
    <row r="95" spans="1:6" ht="15" customHeight="1" x14ac:dyDescent="0.3">
      <c r="A95" s="68" t="s">
        <v>142</v>
      </c>
      <c r="B95" s="16" t="s">
        <v>50</v>
      </c>
      <c r="C95" s="19">
        <f>+F5/F$8</f>
        <v>0.57999999999999996</v>
      </c>
      <c r="D95" s="8"/>
      <c r="E95" s="8"/>
    </row>
    <row r="96" spans="1:6" x14ac:dyDescent="0.3">
      <c r="A96" s="69"/>
      <c r="B96" s="16" t="s">
        <v>3</v>
      </c>
      <c r="C96" s="19">
        <f>+F6/F$8</f>
        <v>0.17</v>
      </c>
      <c r="D96" s="8"/>
      <c r="E96" s="8"/>
    </row>
    <row r="97" spans="1:6" x14ac:dyDescent="0.3">
      <c r="A97" s="70"/>
      <c r="B97" s="16" t="s">
        <v>24</v>
      </c>
      <c r="C97" s="19">
        <f>+F7/F$8</f>
        <v>0.25</v>
      </c>
      <c r="D97" s="8"/>
      <c r="E97" s="8"/>
    </row>
    <row r="99" spans="1:6" x14ac:dyDescent="0.3">
      <c r="C99" s="15" t="s">
        <v>18</v>
      </c>
      <c r="D99" s="15" t="s">
        <v>13</v>
      </c>
      <c r="E99" s="15" t="s">
        <v>4</v>
      </c>
      <c r="F99" s="7"/>
    </row>
    <row r="100" spans="1:6" x14ac:dyDescent="0.3">
      <c r="A100" s="58" t="s">
        <v>143</v>
      </c>
      <c r="B100" s="39" t="s">
        <v>119</v>
      </c>
      <c r="C100" s="32">
        <f>+C8/$F8</f>
        <v>0.45</v>
      </c>
      <c r="D100" s="32">
        <f>+D8/$F8</f>
        <v>0.4</v>
      </c>
      <c r="E100" s="32">
        <f>+E8/$F8</f>
        <v>0.15</v>
      </c>
      <c r="F100" s="36"/>
    </row>
    <row r="101" spans="1:6" x14ac:dyDescent="0.3">
      <c r="A101" s="58"/>
      <c r="C101" s="8"/>
      <c r="D101" s="8"/>
      <c r="E101" s="8"/>
      <c r="F101" s="8"/>
    </row>
    <row r="102" spans="1:6" x14ac:dyDescent="0.3">
      <c r="A102" s="58"/>
    </row>
    <row r="104" spans="1:6" x14ac:dyDescent="0.3">
      <c r="A104" s="59" t="s">
        <v>127</v>
      </c>
      <c r="B104" s="60"/>
      <c r="C104" s="29">
        <f>+C95</f>
        <v>0.57999999999999996</v>
      </c>
      <c r="D104" s="20">
        <v>0</v>
      </c>
      <c r="E104" s="20">
        <v>0</v>
      </c>
    </row>
    <row r="105" spans="1:6" x14ac:dyDescent="0.3">
      <c r="A105" s="61"/>
      <c r="B105" s="62"/>
      <c r="C105" s="20">
        <v>0</v>
      </c>
      <c r="D105" s="29">
        <f>+C96</f>
        <v>0.17</v>
      </c>
      <c r="E105" s="20">
        <v>0</v>
      </c>
    </row>
    <row r="106" spans="1:6" x14ac:dyDescent="0.3">
      <c r="A106" s="63"/>
      <c r="B106" s="64"/>
      <c r="C106" s="20">
        <v>0</v>
      </c>
      <c r="D106" s="20">
        <v>0</v>
      </c>
      <c r="E106" s="29">
        <f>+C97</f>
        <v>0.25</v>
      </c>
    </row>
    <row r="108" spans="1:6" x14ac:dyDescent="0.3">
      <c r="A108" s="59" t="s">
        <v>126</v>
      </c>
      <c r="B108" s="60"/>
      <c r="C108" s="33">
        <f>+C100</f>
        <v>0.45</v>
      </c>
      <c r="D108" s="20">
        <v>0</v>
      </c>
      <c r="E108" s="20">
        <v>0</v>
      </c>
    </row>
    <row r="109" spans="1:6" x14ac:dyDescent="0.3">
      <c r="A109" s="61"/>
      <c r="B109" s="62"/>
      <c r="C109" s="20">
        <v>0</v>
      </c>
      <c r="D109" s="33">
        <f>+D100</f>
        <v>0.4</v>
      </c>
      <c r="E109" s="20">
        <v>0</v>
      </c>
    </row>
    <row r="110" spans="1:6" x14ac:dyDescent="0.3">
      <c r="A110" s="63"/>
      <c r="B110" s="64"/>
      <c r="C110" s="20">
        <v>0</v>
      </c>
      <c r="D110" s="20">
        <v>0</v>
      </c>
      <c r="E110" s="33">
        <f>+E100</f>
        <v>0.15</v>
      </c>
    </row>
    <row r="113" spans="1:7" x14ac:dyDescent="0.3">
      <c r="A113" s="57" t="s">
        <v>124</v>
      </c>
      <c r="B113" s="57"/>
      <c r="C113" s="57"/>
      <c r="D113" s="57"/>
      <c r="E113" s="57"/>
      <c r="F113" s="57"/>
    </row>
    <row r="114" spans="1:7" ht="8.25" customHeight="1" x14ac:dyDescent="0.3"/>
    <row r="115" spans="1:7" x14ac:dyDescent="0.3">
      <c r="A115" s="56" t="s">
        <v>163</v>
      </c>
      <c r="B115" s="56"/>
      <c r="C115" s="21">
        <f>C70-$D$82</f>
        <v>-0.13976131507775524</v>
      </c>
      <c r="D115" s="21">
        <f>+D78</f>
        <v>-4.359870290058393E-2</v>
      </c>
      <c r="E115" s="21">
        <f>+E78</f>
        <v>-9.0670146737440407E-2</v>
      </c>
      <c r="F115" s="2" t="s">
        <v>140</v>
      </c>
      <c r="G115" s="31" t="s">
        <v>165</v>
      </c>
    </row>
    <row r="116" spans="1:7" x14ac:dyDescent="0.3">
      <c r="A116" s="56"/>
      <c r="B116" s="56"/>
      <c r="C116" s="21">
        <f>+C79</f>
        <v>-4.359870290058393E-2</v>
      </c>
      <c r="D116" s="21">
        <f>D71-$D$82</f>
        <v>-0.18127179513184585</v>
      </c>
      <c r="E116" s="21">
        <f>+E79</f>
        <v>-9.307729786640604E-3</v>
      </c>
      <c r="F116" s="2" t="s">
        <v>140</v>
      </c>
      <c r="G116" s="31" t="s">
        <v>166</v>
      </c>
    </row>
    <row r="117" spans="1:7" x14ac:dyDescent="0.3">
      <c r="A117" s="56"/>
      <c r="B117" s="56"/>
      <c r="C117" s="21">
        <f>+C80</f>
        <v>-9.0670146737440407E-2</v>
      </c>
      <c r="D117" s="21">
        <f>+D80</f>
        <v>-9.307729786640604E-3</v>
      </c>
      <c r="E117" s="21">
        <f>E72-$D$82</f>
        <v>-6.0970240027045319E-2</v>
      </c>
      <c r="F117" s="2" t="s">
        <v>140</v>
      </c>
      <c r="G117" s="31" t="s">
        <v>167</v>
      </c>
    </row>
    <row r="119" spans="1:7" x14ac:dyDescent="0.3">
      <c r="B119" s="65" t="s">
        <v>128</v>
      </c>
      <c r="C119" s="21">
        <v>-0.56215024999999996</v>
      </c>
    </row>
    <row r="120" spans="1:7" x14ac:dyDescent="0.3">
      <c r="B120" s="66"/>
      <c r="C120" s="21">
        <v>9.3009770000000005E-2</v>
      </c>
    </row>
    <row r="121" spans="1:7" x14ac:dyDescent="0.3">
      <c r="B121" s="67"/>
      <c r="C121" s="21">
        <v>0.82178846999999999</v>
      </c>
      <c r="D121" s="40" t="s">
        <v>145</v>
      </c>
    </row>
    <row r="122" spans="1:7" x14ac:dyDescent="0.3">
      <c r="B122" s="25"/>
    </row>
    <row r="123" spans="1:7" x14ac:dyDescent="0.3">
      <c r="B123" s="65" t="s">
        <v>129</v>
      </c>
      <c r="C123" s="21">
        <v>-0.62491193</v>
      </c>
    </row>
    <row r="124" spans="1:7" x14ac:dyDescent="0.3">
      <c r="B124" s="66"/>
      <c r="C124" s="21">
        <v>0.67162480999999996</v>
      </c>
    </row>
    <row r="125" spans="1:7" x14ac:dyDescent="0.3">
      <c r="B125" s="67"/>
      <c r="C125" s="21">
        <v>0.39800149000000001</v>
      </c>
    </row>
    <row r="127" spans="1:7" x14ac:dyDescent="0.3">
      <c r="A127" s="56" t="s">
        <v>164</v>
      </c>
      <c r="B127" s="56"/>
      <c r="C127" s="21">
        <f>C70-$D$83</f>
        <v>9.0268849222447517E-3</v>
      </c>
      <c r="D127" s="21">
        <f>+D78</f>
        <v>-4.359870290058393E-2</v>
      </c>
      <c r="E127" s="21">
        <f>+E78</f>
        <v>-9.0670146737440407E-2</v>
      </c>
      <c r="F127" s="2" t="s">
        <v>140</v>
      </c>
      <c r="G127" s="31" t="s">
        <v>170</v>
      </c>
    </row>
    <row r="128" spans="1:7" x14ac:dyDescent="0.3">
      <c r="A128" s="56"/>
      <c r="B128" s="56"/>
      <c r="C128" s="21">
        <f>+C79</f>
        <v>-4.359870290058393E-2</v>
      </c>
      <c r="D128" s="21">
        <f>D71-$D$83</f>
        <v>-3.2483595131845844E-2</v>
      </c>
      <c r="E128" s="21">
        <f>+E79</f>
        <v>-9.307729786640604E-3</v>
      </c>
      <c r="F128" s="2" t="s">
        <v>140</v>
      </c>
      <c r="G128" s="31" t="s">
        <v>168</v>
      </c>
    </row>
    <row r="129" spans="1:13" x14ac:dyDescent="0.3">
      <c r="A129" s="56"/>
      <c r="B129" s="56"/>
      <c r="C129" s="21">
        <f>+C80</f>
        <v>-9.0670146737440407E-2</v>
      </c>
      <c r="D129" s="21">
        <f>+D80</f>
        <v>-9.307729786640604E-3</v>
      </c>
      <c r="E129" s="21">
        <f>E72-$D$83</f>
        <v>8.781795997295469E-2</v>
      </c>
      <c r="F129" s="2" t="s">
        <v>140</v>
      </c>
      <c r="G129" s="31" t="s">
        <v>169</v>
      </c>
    </row>
    <row r="131" spans="1:13" x14ac:dyDescent="0.3">
      <c r="B131" s="65" t="s">
        <v>133</v>
      </c>
      <c r="C131" s="21">
        <v>-0.48372212999999997</v>
      </c>
    </row>
    <row r="132" spans="1:13" x14ac:dyDescent="0.3">
      <c r="B132" s="66"/>
      <c r="C132" s="21">
        <v>0.76899231999999995</v>
      </c>
    </row>
    <row r="133" spans="1:13" x14ac:dyDescent="0.3">
      <c r="B133" s="67"/>
      <c r="C133" s="21">
        <v>-0.41792789000000002</v>
      </c>
      <c r="D133" s="40" t="s">
        <v>145</v>
      </c>
    </row>
    <row r="134" spans="1:13" x14ac:dyDescent="0.3">
      <c r="B134" s="25"/>
    </row>
    <row r="135" spans="1:13" x14ac:dyDescent="0.3">
      <c r="B135" s="65" t="s">
        <v>134</v>
      </c>
      <c r="C135" s="21">
        <v>-0.17171218999999999</v>
      </c>
    </row>
    <row r="136" spans="1:13" x14ac:dyDescent="0.3">
      <c r="B136" s="66"/>
      <c r="C136" s="21">
        <v>-0.61556487000000004</v>
      </c>
    </row>
    <row r="137" spans="1:13" x14ac:dyDescent="0.3">
      <c r="B137" s="67"/>
      <c r="C137" s="21">
        <v>0.76915201</v>
      </c>
    </row>
    <row r="140" spans="1:13" x14ac:dyDescent="0.3">
      <c r="A140" s="50" t="s">
        <v>130</v>
      </c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2"/>
    </row>
    <row r="141" spans="1:13" ht="8.25" customHeight="1" x14ac:dyDescent="0.3"/>
    <row r="142" spans="1:13" x14ac:dyDescent="0.3">
      <c r="A142" s="53" t="s">
        <v>131</v>
      </c>
      <c r="B142" s="54"/>
      <c r="C142" s="54"/>
      <c r="D142" s="54"/>
      <c r="E142" s="54"/>
      <c r="F142" s="55"/>
      <c r="H142" s="53" t="s">
        <v>132</v>
      </c>
      <c r="I142" s="54"/>
      <c r="J142" s="54"/>
      <c r="K142" s="54"/>
      <c r="L142" s="54"/>
      <c r="M142" s="55"/>
    </row>
    <row r="144" spans="1:13" x14ac:dyDescent="0.3">
      <c r="A144" s="44" t="s">
        <v>172</v>
      </c>
      <c r="B144" s="45"/>
      <c r="C144" s="5">
        <f>($E$87)*1/SQRT(C104)</f>
        <v>0.63410947602618817</v>
      </c>
      <c r="D144" s="20">
        <v>0</v>
      </c>
      <c r="E144" s="20">
        <v>0</v>
      </c>
      <c r="H144" s="44" t="s">
        <v>174</v>
      </c>
      <c r="I144" s="45"/>
      <c r="J144" s="5">
        <f>($E$87)*1/SQRT(C108)</f>
        <v>0.71989968436967355</v>
      </c>
      <c r="K144" s="20">
        <v>0</v>
      </c>
      <c r="L144" s="20">
        <v>0</v>
      </c>
    </row>
    <row r="145" spans="1:12" x14ac:dyDescent="0.3">
      <c r="A145" s="46"/>
      <c r="B145" s="47"/>
      <c r="C145" s="20">
        <v>0</v>
      </c>
      <c r="D145" s="5">
        <f>($E$87)*1/SQRT(D105)</f>
        <v>1.171261260853645</v>
      </c>
      <c r="E145" s="20">
        <v>0</v>
      </c>
      <c r="H145" s="46"/>
      <c r="I145" s="47"/>
      <c r="J145" s="20">
        <v>0</v>
      </c>
      <c r="K145" s="5">
        <f>($E$87)*1/SQRT(D109)</f>
        <v>0.763568922887777</v>
      </c>
      <c r="L145" s="20">
        <v>0</v>
      </c>
    </row>
    <row r="146" spans="1:12" x14ac:dyDescent="0.3">
      <c r="A146" s="48"/>
      <c r="B146" s="49"/>
      <c r="C146" s="20">
        <v>0</v>
      </c>
      <c r="D146" s="20">
        <v>0</v>
      </c>
      <c r="E146" s="5">
        <f>($E$87)*1/SQRT(E106)</f>
        <v>0.9658467787387397</v>
      </c>
      <c r="H146" s="48"/>
      <c r="I146" s="49"/>
      <c r="J146" s="20">
        <v>0</v>
      </c>
      <c r="K146" s="20">
        <v>0</v>
      </c>
      <c r="L146" s="5">
        <f>($E$87)*1/SQRT(E110)</f>
        <v>1.2469028296810729</v>
      </c>
    </row>
    <row r="148" spans="1:12" x14ac:dyDescent="0.3">
      <c r="B148" s="42" t="s">
        <v>129</v>
      </c>
      <c r="C148" s="21">
        <f>+C123</f>
        <v>-0.62491193</v>
      </c>
      <c r="I148" s="42" t="s">
        <v>128</v>
      </c>
      <c r="J148" s="21">
        <f>+C119</f>
        <v>-0.56215024999999996</v>
      </c>
    </row>
    <row r="149" spans="1:12" x14ac:dyDescent="0.3">
      <c r="B149" s="42"/>
      <c r="C149" s="21">
        <f>+C124</f>
        <v>0.67162480999999996</v>
      </c>
      <c r="I149" s="42"/>
      <c r="J149" s="21">
        <f>+C120</f>
        <v>9.3009770000000005E-2</v>
      </c>
    </row>
    <row r="150" spans="1:12" x14ac:dyDescent="0.3">
      <c r="B150" s="42"/>
      <c r="C150" s="21">
        <f>+C125</f>
        <v>0.39800149000000001</v>
      </c>
      <c r="I150" s="42"/>
      <c r="J150" s="21">
        <f>+C121</f>
        <v>0.82178846999999999</v>
      </c>
    </row>
    <row r="152" spans="1:12" x14ac:dyDescent="0.3">
      <c r="B152" s="43" t="s">
        <v>147</v>
      </c>
      <c r="C152" s="30">
        <f t="array" ref="C152:C154">MMULT(C144:E146,C148:C150)</f>
        <v>-0.396262576494814</v>
      </c>
      <c r="I152" s="43" t="s">
        <v>149</v>
      </c>
      <c r="J152" s="30">
        <f t="array" ref="J152:J154">MMULT(J144:L146,J148:J150)</f>
        <v>-0.40469178754333307</v>
      </c>
    </row>
    <row r="153" spans="1:12" x14ac:dyDescent="0.3">
      <c r="B153" s="43"/>
      <c r="C153" s="30">
        <v>0.7866481217811897</v>
      </c>
      <c r="I153" s="43"/>
      <c r="J153" s="30">
        <v>7.1019369896939882E-2</v>
      </c>
    </row>
    <row r="154" spans="1:12" x14ac:dyDescent="0.3">
      <c r="B154" s="43"/>
      <c r="C154" s="30">
        <v>0.38440845704971871</v>
      </c>
      <c r="I154" s="43"/>
      <c r="J154" s="30">
        <v>1.0246903686422795</v>
      </c>
    </row>
    <row r="156" spans="1:12" x14ac:dyDescent="0.3">
      <c r="A156" s="44" t="s">
        <v>173</v>
      </c>
      <c r="B156" s="45"/>
      <c r="C156" s="5">
        <f>($E$88)*1/SQRT(C104)</f>
        <v>0.38152778178772523</v>
      </c>
      <c r="D156" s="20">
        <v>0</v>
      </c>
      <c r="E156" s="20">
        <v>0</v>
      </c>
      <c r="H156" s="44" t="s">
        <v>175</v>
      </c>
      <c r="I156" s="45"/>
      <c r="J156" s="5">
        <f>($E$88)*1/SQRT(C108)</f>
        <v>0.43314560035986871</v>
      </c>
      <c r="K156" s="20">
        <v>0</v>
      </c>
      <c r="L156" s="20">
        <v>0</v>
      </c>
    </row>
    <row r="157" spans="1:12" x14ac:dyDescent="0.3">
      <c r="A157" s="46"/>
      <c r="B157" s="47"/>
      <c r="C157" s="20">
        <v>0</v>
      </c>
      <c r="D157" s="5">
        <f>($E$88)*1/SQRT(D105)</f>
        <v>0.70471855041152254</v>
      </c>
      <c r="E157" s="20">
        <v>0</v>
      </c>
      <c r="H157" s="46"/>
      <c r="I157" s="47"/>
      <c r="J157" s="20">
        <v>0</v>
      </c>
      <c r="K157" s="5">
        <f>($E$88)*1/SQRT(D109)</f>
        <v>0.45942028688337216</v>
      </c>
      <c r="L157" s="20">
        <v>0</v>
      </c>
    </row>
    <row r="158" spans="1:12" x14ac:dyDescent="0.3">
      <c r="A158" s="48"/>
      <c r="B158" s="49"/>
      <c r="C158" s="20">
        <v>0</v>
      </c>
      <c r="D158" s="20">
        <v>0</v>
      </c>
      <c r="E158" s="5">
        <f>($E$88)*1/SQRT(E106)</f>
        <v>0.58112580393577429</v>
      </c>
      <c r="H158" s="48"/>
      <c r="I158" s="49"/>
      <c r="J158" s="20">
        <v>0</v>
      </c>
      <c r="K158" s="20">
        <v>0</v>
      </c>
      <c r="L158" s="5">
        <f>($E$88)*1/SQRT(E110)</f>
        <v>0.75023018689821674</v>
      </c>
    </row>
    <row r="160" spans="1:12" x14ac:dyDescent="0.3">
      <c r="B160" s="42" t="s">
        <v>134</v>
      </c>
      <c r="C160" s="21">
        <f>+C135</f>
        <v>-0.17171218999999999</v>
      </c>
      <c r="I160" s="42" t="s">
        <v>133</v>
      </c>
      <c r="J160" s="21">
        <f>C131</f>
        <v>-0.48372212999999997</v>
      </c>
    </row>
    <row r="161" spans="1:13" x14ac:dyDescent="0.3">
      <c r="B161" s="42"/>
      <c r="C161" s="21">
        <f>+C136</f>
        <v>-0.61556487000000004</v>
      </c>
      <c r="I161" s="42"/>
      <c r="J161" s="21">
        <f>C132</f>
        <v>0.76899231999999995</v>
      </c>
    </row>
    <row r="162" spans="1:13" x14ac:dyDescent="0.3">
      <c r="B162" s="42"/>
      <c r="C162" s="21">
        <f>+C137</f>
        <v>0.76915201</v>
      </c>
      <c r="I162" s="42"/>
      <c r="J162" s="21">
        <f>C133</f>
        <v>-0.41792789000000002</v>
      </c>
    </row>
    <row r="164" spans="1:13" x14ac:dyDescent="0.3">
      <c r="B164" s="43" t="s">
        <v>148</v>
      </c>
      <c r="C164" s="30">
        <f t="array" ref="C164:C166">MMULT(C156:E158,C160:C162)</f>
        <v>-6.5512970956612404E-2</v>
      </c>
      <c r="I164" s="43" t="s">
        <v>150</v>
      </c>
      <c r="J164" s="30">
        <f t="array" ref="J164:J166">MMULT(J156:L158,J160:J162)</f>
        <v>-0.20952211240620444</v>
      </c>
    </row>
    <row r="165" spans="1:13" x14ac:dyDescent="0.3">
      <c r="B165" s="43"/>
      <c r="C165" s="30">
        <v>-0.43379998287065735</v>
      </c>
      <c r="I165" s="43"/>
      <c r="J165" s="30">
        <v>0.35329067226550992</v>
      </c>
    </row>
    <row r="166" spans="1:13" x14ac:dyDescent="0.3">
      <c r="B166" s="43"/>
      <c r="C166" s="30">
        <v>0.44697408016006668</v>
      </c>
      <c r="I166" s="43"/>
      <c r="J166" s="30">
        <v>-0.31354211902467738</v>
      </c>
    </row>
    <row r="169" spans="1:13" x14ac:dyDescent="0.3">
      <c r="A169" s="50" t="s">
        <v>146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2"/>
    </row>
    <row r="170" spans="1:13" ht="8.25" customHeight="1" x14ac:dyDescent="0.3"/>
    <row r="171" spans="1:13" x14ac:dyDescent="0.3">
      <c r="A171" s="43" t="s">
        <v>139</v>
      </c>
      <c r="B171" s="43"/>
      <c r="C171" s="28" t="s">
        <v>137</v>
      </c>
      <c r="D171" s="28" t="s">
        <v>138</v>
      </c>
    </row>
    <row r="172" spans="1:13" x14ac:dyDescent="0.3">
      <c r="A172" s="42" t="s">
        <v>135</v>
      </c>
      <c r="B172" s="16" t="s">
        <v>50</v>
      </c>
      <c r="C172" s="21">
        <f>+C152</f>
        <v>-0.396262576494814</v>
      </c>
      <c r="D172" s="21">
        <f>+C164</f>
        <v>-6.5512970956612404E-2</v>
      </c>
    </row>
    <row r="173" spans="1:13" x14ac:dyDescent="0.3">
      <c r="A173" s="42"/>
      <c r="B173" s="16" t="s">
        <v>3</v>
      </c>
      <c r="C173" s="21">
        <f>+C153</f>
        <v>0.7866481217811897</v>
      </c>
      <c r="D173" s="21">
        <f>+C165</f>
        <v>-0.43379998287065735</v>
      </c>
    </row>
    <row r="174" spans="1:13" x14ac:dyDescent="0.3">
      <c r="A174" s="42"/>
      <c r="B174" s="16" t="s">
        <v>24</v>
      </c>
      <c r="C174" s="21">
        <f>+C154</f>
        <v>0.38440845704971871</v>
      </c>
      <c r="D174" s="21">
        <f>+C166</f>
        <v>0.44697408016006668</v>
      </c>
    </row>
    <row r="175" spans="1:13" x14ac:dyDescent="0.3">
      <c r="A175" s="42" t="s">
        <v>136</v>
      </c>
      <c r="B175" s="27" t="s">
        <v>18</v>
      </c>
      <c r="C175" s="21">
        <f>+J152</f>
        <v>-0.40469178754333307</v>
      </c>
      <c r="D175" s="21">
        <f>+J164</f>
        <v>-0.20952211240620444</v>
      </c>
    </row>
    <row r="176" spans="1:13" x14ac:dyDescent="0.3">
      <c r="A176" s="42"/>
      <c r="B176" s="27" t="s">
        <v>13</v>
      </c>
      <c r="C176" s="21">
        <f>+J153</f>
        <v>7.1019369896939882E-2</v>
      </c>
      <c r="D176" s="21">
        <f>+J165</f>
        <v>0.35329067226550992</v>
      </c>
    </row>
    <row r="177" spans="1:4" x14ac:dyDescent="0.3">
      <c r="A177" s="42"/>
      <c r="B177" s="27" t="s">
        <v>4</v>
      </c>
      <c r="C177" s="21">
        <f>+J154</f>
        <v>1.0246903686422795</v>
      </c>
      <c r="D177" s="21">
        <f>+J166</f>
        <v>-0.31354211902467738</v>
      </c>
    </row>
  </sheetData>
  <sortState xmlns:xlrd2="http://schemas.microsoft.com/office/spreadsheetml/2017/richdata2" ref="C4:E4">
    <sortCondition ref="C4"/>
  </sortState>
  <mergeCells count="61">
    <mergeCell ref="I1:L4"/>
    <mergeCell ref="A169:M169"/>
    <mergeCell ref="A20:F20"/>
    <mergeCell ref="C22:E22"/>
    <mergeCell ref="A24:A26"/>
    <mergeCell ref="A51:F51"/>
    <mergeCell ref="A29:F29"/>
    <mergeCell ref="C31:E31"/>
    <mergeCell ref="A33:A35"/>
    <mergeCell ref="A42:F42"/>
    <mergeCell ref="C44:E44"/>
    <mergeCell ref="A46:A48"/>
    <mergeCell ref="B131:B133"/>
    <mergeCell ref="A62:B64"/>
    <mergeCell ref="A66:B68"/>
    <mergeCell ref="A70:B72"/>
    <mergeCell ref="C3:F3"/>
    <mergeCell ref="A5:A8"/>
    <mergeCell ref="A1:F1"/>
    <mergeCell ref="A11:F11"/>
    <mergeCell ref="A15:A17"/>
    <mergeCell ref="C13:E13"/>
    <mergeCell ref="A88:B88"/>
    <mergeCell ref="A89:B89"/>
    <mergeCell ref="C53:E53"/>
    <mergeCell ref="A113:F113"/>
    <mergeCell ref="A115:B117"/>
    <mergeCell ref="A60:F60"/>
    <mergeCell ref="A55:A57"/>
    <mergeCell ref="A78:B80"/>
    <mergeCell ref="A82:B83"/>
    <mergeCell ref="A86:B86"/>
    <mergeCell ref="A74:B76"/>
    <mergeCell ref="A87:B87"/>
    <mergeCell ref="A140:M140"/>
    <mergeCell ref="H142:M142"/>
    <mergeCell ref="H144:I146"/>
    <mergeCell ref="A127:B129"/>
    <mergeCell ref="A92:F92"/>
    <mergeCell ref="A100:A102"/>
    <mergeCell ref="A108:B110"/>
    <mergeCell ref="A104:B106"/>
    <mergeCell ref="B119:B121"/>
    <mergeCell ref="B123:B125"/>
    <mergeCell ref="A95:A97"/>
    <mergeCell ref="B135:B137"/>
    <mergeCell ref="A144:B146"/>
    <mergeCell ref="A142:F142"/>
    <mergeCell ref="A172:A174"/>
    <mergeCell ref="A175:A177"/>
    <mergeCell ref="A171:B171"/>
    <mergeCell ref="I148:I150"/>
    <mergeCell ref="I152:I154"/>
    <mergeCell ref="H156:I158"/>
    <mergeCell ref="I160:I162"/>
    <mergeCell ref="I164:I166"/>
    <mergeCell ref="A156:B158"/>
    <mergeCell ref="B160:B162"/>
    <mergeCell ref="B164:B166"/>
    <mergeCell ref="B148:B150"/>
    <mergeCell ref="B152:B154"/>
  </mergeCells>
  <pageMargins left="0.511811024" right="0.511811024" top="0.78740157499999996" bottom="0.78740157499999996" header="0.31496062000000002" footer="0.31496062000000002"/>
  <ignoredErrors>
    <ignoredError sqref="D116 D128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3e9a1eb5f0399938bad5de5580a00483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57a6ad4b1bee195a5100a2229dcd6124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5bd9b4a-47bd-4c71-9096-100877aa1038">
      <UserInfo>
        <DisplayName/>
        <AccountId xsi:nil="true"/>
        <AccountType/>
      </UserInfo>
    </SharedWithUsers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801E1E5F-59A1-4027-A84F-B6953A6C47C8}"/>
</file>

<file path=customXml/itemProps2.xml><?xml version="1.0" encoding="utf-8"?>
<ds:datastoreItem xmlns:ds="http://schemas.openxmlformats.org/officeDocument/2006/customXml" ds:itemID="{AD1CFDE7-A30D-4C06-ACAA-CAD82920C934}"/>
</file>

<file path=customXml/itemProps3.xml><?xml version="1.0" encoding="utf-8"?>
<ds:datastoreItem xmlns:ds="http://schemas.openxmlformats.org/officeDocument/2006/customXml" ds:itemID="{8B412BC7-F89D-4241-BEBC-2FD3CDD72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Anacor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T. Junior</dc:creator>
  <cp:lastModifiedBy>Juliana Rozao</cp:lastModifiedBy>
  <dcterms:created xsi:type="dcterms:W3CDTF">2020-08-09T21:35:20Z</dcterms:created>
  <dcterms:modified xsi:type="dcterms:W3CDTF">2026-01-07T14:09:10Z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0x010100FD511CDFD32BAE4DB6984ACFD1117AAF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