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uart\Downloads\"/>
    </mc:Choice>
  </mc:AlternateContent>
  <xr:revisionPtr revIDLastSave="0" documentId="13_ncr:1_{17C417CF-1C1A-4E08-8778-257A7ABDA144}" xr6:coauthVersionLast="47" xr6:coauthVersionMax="47" xr10:uidLastSave="{00000000-0000-0000-0000-000000000000}"/>
  <bookViews>
    <workbookView xWindow="-28920" yWindow="-3585" windowWidth="29040" windowHeight="15720" xr2:uid="{29F4A34D-98E7-6A47-BED4-D443703494FC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D13" i="1" s="1"/>
  <c r="B13" i="1"/>
  <c r="D14" i="1" s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6" i="1"/>
  <c r="D16" i="1" l="1"/>
  <c r="D26" i="1"/>
  <c r="D36" i="1"/>
  <c r="D24" i="1"/>
  <c r="D12" i="1"/>
  <c r="D37" i="1"/>
  <c r="D35" i="1"/>
  <c r="D45" i="1"/>
  <c r="D21" i="1"/>
  <c r="D20" i="1"/>
  <c r="D17" i="1"/>
  <c r="D11" i="1"/>
  <c r="D9" i="1"/>
  <c r="D25" i="1"/>
  <c r="D23" i="1"/>
  <c r="D44" i="1"/>
  <c r="D30" i="1"/>
  <c r="D29" i="1"/>
  <c r="D28" i="1"/>
  <c r="D39" i="1"/>
  <c r="D27" i="1"/>
  <c r="D15" i="1"/>
  <c r="D47" i="1"/>
  <c r="D33" i="1"/>
  <c r="D32" i="1"/>
  <c r="D42" i="1"/>
  <c r="D18" i="1"/>
  <c r="D41" i="1"/>
  <c r="D40" i="1"/>
  <c r="C8" i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D38" i="1"/>
  <c r="D19" i="1"/>
  <c r="D31" i="1"/>
  <c r="D43" i="1"/>
  <c r="D10" i="1"/>
  <c r="D22" i="1"/>
  <c r="D34" i="1"/>
  <c r="D46" i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D8" i="1"/>
</calcChain>
</file>

<file path=xl/sharedStrings.xml><?xml version="1.0" encoding="utf-8"?>
<sst xmlns="http://schemas.openxmlformats.org/spreadsheetml/2006/main" count="11" uniqueCount="11">
  <si>
    <t>AR(1)</t>
  </si>
  <si>
    <t>Coeficiente (AR)</t>
  </si>
  <si>
    <t>t</t>
  </si>
  <si>
    <t>Ponto Inicial</t>
  </si>
  <si>
    <t>Erro</t>
  </si>
  <si>
    <t>c (Constante)</t>
  </si>
  <si>
    <t>X(t) - AR(1)</t>
  </si>
  <si>
    <t>X(t) - MA(1)</t>
  </si>
  <si>
    <t>Coeficiente (MA)</t>
  </si>
  <si>
    <t>Aleatório Inicial</t>
  </si>
  <si>
    <t>X(t) - ARMA(1,1)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</si>
</sst>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Planilha1!$C$7</c:f>
              <c:strCache>
                <c:ptCount val="1"/>
                <c:pt idx="0">
                  <c:v>X(t) - AR(1)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Planilha1!$C$8:$C$47</c:f>
              <c:numCache>
                <c:formatCode>General</c:formatCode>
                <c:ptCount val="40"/>
                <c:pt idx="0">
                  <c:v>0.18232732927583392</c:v>
                </c:pt>
                <c:pt idx="1">
                  <c:v>-0.81632698479731691</c:v>
                </c:pt>
                <c:pt idx="2">
                  <c:v>-1.5172962763874782</c:v>
                </c:pt>
                <c:pt idx="3">
                  <c:v>-1.6152371248034245</c:v>
                </c:pt>
                <c:pt idx="4">
                  <c:v>-2.5751239460393878</c:v>
                </c:pt>
                <c:pt idx="5">
                  <c:v>-2.3358771045054776</c:v>
                </c:pt>
                <c:pt idx="6">
                  <c:v>-0.59014923133691699</c:v>
                </c:pt>
                <c:pt idx="7">
                  <c:v>-0.50767638118957559</c:v>
                </c:pt>
                <c:pt idx="8">
                  <c:v>-0.75020709926046036</c:v>
                </c:pt>
                <c:pt idx="9">
                  <c:v>-0.24504438886628105</c:v>
                </c:pt>
                <c:pt idx="10">
                  <c:v>1.4889058954842467</c:v>
                </c:pt>
                <c:pt idx="11">
                  <c:v>2.0671939789081275</c:v>
                </c:pt>
                <c:pt idx="12">
                  <c:v>0.52616168717699541</c:v>
                </c:pt>
                <c:pt idx="13">
                  <c:v>0.13201804826607472</c:v>
                </c:pt>
                <c:pt idx="14">
                  <c:v>0.13618902076008202</c:v>
                </c:pt>
                <c:pt idx="15">
                  <c:v>-0.47354069627604967</c:v>
                </c:pt>
                <c:pt idx="16">
                  <c:v>-0.93910553197771618</c:v>
                </c:pt>
                <c:pt idx="17">
                  <c:v>-0.32858314299086444</c:v>
                </c:pt>
                <c:pt idx="18">
                  <c:v>1.2846346061365985</c:v>
                </c:pt>
                <c:pt idx="19">
                  <c:v>0.92551192877210187</c:v>
                </c:pt>
                <c:pt idx="20">
                  <c:v>1.7643523263721408</c:v>
                </c:pt>
                <c:pt idx="21">
                  <c:v>1.3469279762744384</c:v>
                </c:pt>
                <c:pt idx="22">
                  <c:v>0.54353043663984746</c:v>
                </c:pt>
                <c:pt idx="23">
                  <c:v>-0.29857849573134676</c:v>
                </c:pt>
                <c:pt idx="24">
                  <c:v>1.0532896456856888</c:v>
                </c:pt>
                <c:pt idx="25">
                  <c:v>3.3444849522410949</c:v>
                </c:pt>
                <c:pt idx="26">
                  <c:v>1.4089379026832587</c:v>
                </c:pt>
                <c:pt idx="27">
                  <c:v>1.9920627854741479</c:v>
                </c:pt>
                <c:pt idx="28">
                  <c:v>1.9561543798200463</c:v>
                </c:pt>
                <c:pt idx="29">
                  <c:v>2.3849963892510995</c:v>
                </c:pt>
                <c:pt idx="30">
                  <c:v>2.7094625447449099</c:v>
                </c:pt>
                <c:pt idx="31">
                  <c:v>0.99242293080272659</c:v>
                </c:pt>
                <c:pt idx="32">
                  <c:v>1.3220166853510367</c:v>
                </c:pt>
                <c:pt idx="33">
                  <c:v>1.8751007665375217</c:v>
                </c:pt>
                <c:pt idx="34">
                  <c:v>2.606098839020031</c:v>
                </c:pt>
                <c:pt idx="35">
                  <c:v>3.0679466995088678</c:v>
                </c:pt>
                <c:pt idx="36">
                  <c:v>2.8930612984878357</c:v>
                </c:pt>
                <c:pt idx="37">
                  <c:v>1.8605430846669124</c:v>
                </c:pt>
                <c:pt idx="38">
                  <c:v>2.00050732232345</c:v>
                </c:pt>
                <c:pt idx="39">
                  <c:v>0.65754640349699311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90-0344-B7DD-07D6809F3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763952"/>
        <c:axId val="1269991248"/>
      </c:scatterChart>
      <c:valAx>
        <c:axId val="69676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9991248"/>
        <c:crosses val="autoZero"/>
        <c:crossBetween val="midCat"/>
      </c:valAx>
      <c:valAx>
        <c:axId val="126999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676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Planilha1!$D$7</c:f>
              <c:strCache>
                <c:ptCount val="1"/>
                <c:pt idx="0">
                  <c:v>X(t) - MA(1)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Planilha1!$D$8:$D$47</c:f>
              <c:numCache>
                <c:formatCode>General</c:formatCode>
                <c:ptCount val="40"/>
                <c:pt idx="0">
                  <c:v>0.54574517653476429</c:v>
                </c:pt>
                <c:pt idx="1">
                  <c:v>-1.0168870470007341</c:v>
                </c:pt>
                <c:pt idx="2">
                  <c:v>-0.57557803408422936</c:v>
                </c:pt>
                <c:pt idx="3">
                  <c:v>-0.14212969712855456</c:v>
                </c:pt>
                <c:pt idx="4">
                  <c:v>-1.1625142150886156</c:v>
                </c:pt>
                <c:pt idx="5">
                  <c:v>0.1091023261850268</c:v>
                </c:pt>
                <c:pt idx="6">
                  <c:v>1.3612858365696554</c:v>
                </c:pt>
                <c:pt idx="7">
                  <c:v>-0.41912273180028153</c:v>
                </c:pt>
                <c:pt idx="8">
                  <c:v>-0.33339889547278734</c:v>
                </c:pt>
                <c:pt idx="9">
                  <c:v>0.45834108883472724</c:v>
                </c:pt>
                <c:pt idx="10">
                  <c:v>1.5784050194146455</c:v>
                </c:pt>
                <c:pt idx="11">
                  <c:v>0.37058684054754865</c:v>
                </c:pt>
                <c:pt idx="12">
                  <c:v>-1.3904142747057255</c:v>
                </c:pt>
                <c:pt idx="13">
                  <c:v>4.9366747309330328E-2</c:v>
                </c:pt>
                <c:pt idx="14">
                  <c:v>0.11724797258987872</c:v>
                </c:pt>
                <c:pt idx="15">
                  <c:v>-0.59166428752828193</c:v>
                </c:pt>
                <c:pt idx="16">
                  <c:v>-0.38552540109164191</c:v>
                </c:pt>
                <c:pt idx="17">
                  <c:v>0.59078317507837153</c:v>
                </c:pt>
                <c:pt idx="18">
                  <c:v>1.4206907357518976</c:v>
                </c:pt>
                <c:pt idx="19">
                  <c:v>-0.56644609229596399</c:v>
                </c:pt>
                <c:pt idx="20">
                  <c:v>1.0546015101956123</c:v>
                </c:pt>
                <c:pt idx="21">
                  <c:v>-0.37173671982961209</c:v>
                </c:pt>
                <c:pt idx="22">
                  <c:v>-0.51464577893272101</c:v>
                </c:pt>
                <c:pt idx="23">
                  <c:v>-0.57319926172931379</c:v>
                </c:pt>
                <c:pt idx="24">
                  <c:v>1.5121732957837337</c:v>
                </c:pt>
                <c:pt idx="25">
                  <c:v>2.1142075030113139</c:v>
                </c:pt>
                <c:pt idx="26">
                  <c:v>-2.0172060298173804</c:v>
                </c:pt>
                <c:pt idx="27">
                  <c:v>1.2449074810604261</c:v>
                </c:pt>
                <c:pt idx="28">
                  <c:v>0.10303041244246575</c:v>
                </c:pt>
                <c:pt idx="29">
                  <c:v>0.71132163996284392</c:v>
                </c:pt>
                <c:pt idx="30">
                  <c:v>0.55544356772551162</c:v>
                </c:pt>
                <c:pt idx="31">
                  <c:v>-1.4155867349964104</c:v>
                </c:pt>
                <c:pt idx="32">
                  <c:v>0.88062247220681589</c:v>
                </c:pt>
                <c:pt idx="33">
                  <c:v>0.65906391604403569</c:v>
                </c:pt>
                <c:pt idx="34">
                  <c:v>0.86077200031300583</c:v>
                </c:pt>
                <c:pt idx="35">
                  <c:v>0.65126216055583852</c:v>
                </c:pt>
                <c:pt idx="36">
                  <c:v>0.14378365039288887</c:v>
                </c:pt>
                <c:pt idx="37">
                  <c:v>-0.58551713578757847</c:v>
                </c:pt>
                <c:pt idx="38">
                  <c:v>0.64824464082692679</c:v>
                </c:pt>
                <c:pt idx="39">
                  <c:v>-1.096481310738743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80-B94E-B17D-B279C2505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763952"/>
        <c:axId val="1269991248"/>
      </c:scatterChart>
      <c:valAx>
        <c:axId val="69676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9991248"/>
        <c:crosses val="autoZero"/>
        <c:crossBetween val="midCat"/>
      </c:valAx>
      <c:valAx>
        <c:axId val="126999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676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Planilha1!$E$7</c:f>
              <c:strCache>
                <c:ptCount val="1"/>
                <c:pt idx="0">
                  <c:v>X(t) - ARMA(1,1)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Planilha1!$E$8:$E$47</c:f>
              <c:numCache>
                <c:formatCode>General</c:formatCode>
                <c:ptCount val="40"/>
                <c:pt idx="0">
                  <c:v>0.54574517653476429</c:v>
                </c:pt>
                <c:pt idx="1">
                  <c:v>-0.58029090577292275</c:v>
                </c:pt>
                <c:pt idx="2">
                  <c:v>-1.0398107587025676</c:v>
                </c:pt>
                <c:pt idx="3">
                  <c:v>-0.97397830409060859</c:v>
                </c:pt>
                <c:pt idx="4">
                  <c:v>-1.9416968583611025</c:v>
                </c:pt>
                <c:pt idx="5">
                  <c:v>-1.4442551605038554</c:v>
                </c:pt>
                <c:pt idx="6">
                  <c:v>0.20588170816657114</c:v>
                </c:pt>
                <c:pt idx="7">
                  <c:v>-0.25441736526702458</c:v>
                </c:pt>
                <c:pt idx="8">
                  <c:v>-0.53693278768640695</c:v>
                </c:pt>
                <c:pt idx="9">
                  <c:v>2.8794858685601665E-2</c:v>
                </c:pt>
                <c:pt idx="10">
                  <c:v>1.6014409063631267</c:v>
                </c:pt>
                <c:pt idx="11">
                  <c:v>1.6517395656380502</c:v>
                </c:pt>
                <c:pt idx="12">
                  <c:v>-6.902262219528521E-2</c:v>
                </c:pt>
                <c:pt idx="13">
                  <c:v>-5.8513504468978295E-3</c:v>
                </c:pt>
                <c:pt idx="14">
                  <c:v>0.11256689223236045</c:v>
                </c:pt>
                <c:pt idx="15">
                  <c:v>-0.5016107737423936</c:v>
                </c:pt>
                <c:pt idx="16">
                  <c:v>-0.78681402008555679</c:v>
                </c:pt>
                <c:pt idx="17">
                  <c:v>-3.8668040990073926E-2</c:v>
                </c:pt>
                <c:pt idx="18">
                  <c:v>1.3897563029598383</c:v>
                </c:pt>
                <c:pt idx="19">
                  <c:v>0.54535895007190671</c:v>
                </c:pt>
                <c:pt idx="20">
                  <c:v>1.4908886702531376</c:v>
                </c:pt>
                <c:pt idx="21">
                  <c:v>0.82097421637289814</c:v>
                </c:pt>
                <c:pt idx="22">
                  <c:v>0.14213359416559757</c:v>
                </c:pt>
                <c:pt idx="23">
                  <c:v>-0.45949238639683565</c:v>
                </c:pt>
                <c:pt idx="24">
                  <c:v>1.144579386666265</c:v>
                </c:pt>
                <c:pt idx="25">
                  <c:v>3.029871012344326</c:v>
                </c:pt>
                <c:pt idx="26">
                  <c:v>0.40669078005808035</c:v>
                </c:pt>
                <c:pt idx="27">
                  <c:v>1.5702601051068905</c:v>
                </c:pt>
                <c:pt idx="28">
                  <c:v>1.3592384965279782</c:v>
                </c:pt>
                <c:pt idx="29">
                  <c:v>1.7987124371852266</c:v>
                </c:pt>
                <c:pt idx="30">
                  <c:v>1.994413517473693</c:v>
                </c:pt>
                <c:pt idx="31">
                  <c:v>0.17994407898254416</c:v>
                </c:pt>
                <c:pt idx="32">
                  <c:v>1.0245777353928511</c:v>
                </c:pt>
                <c:pt idx="33">
                  <c:v>1.4787261043583166</c:v>
                </c:pt>
                <c:pt idx="34">
                  <c:v>2.0437528837996592</c:v>
                </c:pt>
                <c:pt idx="35">
                  <c:v>2.2862644675955659</c:v>
                </c:pt>
                <c:pt idx="36">
                  <c:v>1.9727952244693416</c:v>
                </c:pt>
                <c:pt idx="37">
                  <c:v>0.99271904378789488</c:v>
                </c:pt>
                <c:pt idx="38">
                  <c:v>1.4424198758572429</c:v>
                </c:pt>
                <c:pt idx="39">
                  <c:v>5.7454589947051327E-2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D3-BE44-8361-122BA5FCB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763952"/>
        <c:axId val="1269991248"/>
      </c:scatterChart>
      <c:valAx>
        <c:axId val="69676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9991248"/>
        <c:crosses val="autoZero"/>
        <c:crossBetween val="midCat"/>
      </c:valAx>
      <c:valAx>
        <c:axId val="126999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676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223520</xdr:colOff>
      <xdr:row>0</xdr:row>
      <xdr:rowOff>99060</xdr:rowOff>
    </xdr:from>
    <xdr:to>
      <xdr:col>10</xdr:col>
      <xdr:colOff>416560</xdr:colOff>
      <xdr:row>8</xdr:row>
      <xdr:rowOff>172720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750A-A98F-DCB3-F94F-7AC8E5ABC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218440</xdr:colOff>
      <xdr:row>9</xdr:row>
      <xdr:rowOff>35560</xdr:rowOff>
    </xdr:from>
    <xdr:to>
      <xdr:col>10</xdr:col>
      <xdr:colOff>411480</xdr:colOff>
      <xdr:row>17</xdr:row>
      <xdr:rowOff>109220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7D66CBD-4298-6E42-958A-4D81DB686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213360</xdr:colOff>
      <xdr:row>17</xdr:row>
      <xdr:rowOff>167640</xdr:rowOff>
    </xdr:from>
    <xdr:to>
      <xdr:col>10</xdr:col>
      <xdr:colOff>406400</xdr:colOff>
      <xdr:row>26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E15E98C-508F-B74F-A6E5-9839C6F714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F2C0-1795-D74D-BDAA-D2A4778C5E50}">
  <dimension ref="A1:E47"/>
  <sheetViews>
    <sheetView tabSelected="1" zoomScale="205" zoomScaleNormal="205" workbookViewId="0"/>
  </sheetViews>
  <sheetFormatPr defaultColWidth="10.90625" defaultRowHeight="15"/>
  <cols>
    <col min="1" max="1" width="14.453125" bestFit="1" customWidth="1"/>
    <col min="5" max="5" width="14" bestFit="1" customWidth="1"/>
  </cols>
  <sheetData>
    <row r="1" spans="1:5">
      <c r="A1" t="s">
        <v>0</v>
      </c>
    </row>
    <row r="2" spans="1:5">
      <c r="A2" t="s">
        <v>5</v>
      </c>
      <c r="B2">
        <v>0</v>
      </c>
    </row>
    <row r="3" spans="1:5">
      <c r="A3" t="s">
        <v>1</v>
      </c>
      <c r="B3">
        <v>0.8</v>
      </c>
    </row>
    <row r="4" spans="1:5">
      <c r="A4" t="s">
        <v>3</v>
      </c>
      <c r="B4">
        <v>0</v>
      </c>
    </row>
    <row r="5" spans="1:5">
      <c r="A5" t="s">
        <v>8</v>
      </c>
      <c r="B5">
        <v>-0.3</v>
      </c>
    </row>
    <row r="6" spans="1:5">
      <c r="A6" t="s">
        <v>9</v>
      </c>
      <c r="B6">
        <f ca="1">_xlfn.NORM.INV(RAND(),0,1)</f>
        <v>-1.2113928241964347</v>
      </c>
    </row>
    <row r="7" spans="1:5">
      <c r="A7" s="1" t="s">
        <v>2</v>
      </c>
      <c r="B7" t="s">
        <v>4</v>
      </c>
      <c r="C7" t="s">
        <v>6</v>
      </c>
      <c r="D7" t="s">
        <v>7</v>
      </c>
      <c r="E7" t="s">
        <v>10</v>
      </c>
    </row>
    <row r="8" spans="1:5">
      <c r="A8" s="1">
        <v>1</v>
      </c>
      <c r="B8">
        <f ca="1">_xlfn.NORM.INV(RAND(),0,1)</f>
        <v>0.18232732927583392</v>
      </c>
      <c r="C8">
        <f ca="1">$B$2+$B$3*B4+B8</f>
        <v>0.18232732927583392</v>
      </c>
      <c r="D8">
        <f ca="1">$B$2+$B$5*B6+B8</f>
        <v>0.54574517653476429</v>
      </c>
      <c r="E8">
        <f ca="1">$B$2+$B$3*B4+$B$5*B6+B8</f>
        <v>0.54574517653476429</v>
      </c>
    </row>
    <row r="9" spans="1:5">
      <c r="A9" s="1">
        <v>2</v>
      </c>
      <c r="B9">
        <f t="shared" ref="B9:B47" ca="1" si="0">_xlfn.NORM.INV(RAND(),0,1)</f>
        <v>-0.96218884821798401</v>
      </c>
      <c r="C9">
        <f ca="1">$B$2+$B$3*C8+B9</f>
        <v>-0.81632698479731691</v>
      </c>
      <c r="D9">
        <f ca="1">$B$2+$B$5*B8+B9</f>
        <v>-1.0168870470007341</v>
      </c>
      <c r="E9">
        <f ca="1">$B$2+$B$3*E8+$B$5*B8+B9</f>
        <v>-0.58029090577292275</v>
      </c>
    </row>
    <row r="10" spans="1:5">
      <c r="A10" s="1">
        <v>3</v>
      </c>
      <c r="B10">
        <f t="shared" ca="1" si="0"/>
        <v>-0.8642346885496246</v>
      </c>
      <c r="C10">
        <f t="shared" ref="C10:C47" ca="1" si="1">$B$2+$B$3*C9+B10</f>
        <v>-1.5172962763874782</v>
      </c>
      <c r="D10">
        <f t="shared" ref="D10:D47" ca="1" si="2">$B$2+$B$5*B9+B10</f>
        <v>-0.57557803408422936</v>
      </c>
      <c r="E10">
        <f t="shared" ref="E10:E47" ca="1" si="3">$B$2+$B$3*E9+$B$5*B9+B10</f>
        <v>-1.0398107587025676</v>
      </c>
    </row>
    <row r="11" spans="1:5">
      <c r="A11" s="1">
        <v>4</v>
      </c>
      <c r="B11">
        <f t="shared" ca="1" si="0"/>
        <v>-0.40140010369344192</v>
      </c>
      <c r="C11">
        <f t="shared" ca="1" si="1"/>
        <v>-1.6152371248034245</v>
      </c>
      <c r="D11">
        <f t="shared" ca="1" si="2"/>
        <v>-0.14212969712855456</v>
      </c>
      <c r="E11">
        <f t="shared" ca="1" si="3"/>
        <v>-0.97397830409060859</v>
      </c>
    </row>
    <row r="12" spans="1:5">
      <c r="A12" s="1">
        <v>5</v>
      </c>
      <c r="B12">
        <f t="shared" ca="1" si="0"/>
        <v>-1.2829342461966482</v>
      </c>
      <c r="C12">
        <f t="shared" ca="1" si="1"/>
        <v>-2.5751239460393878</v>
      </c>
      <c r="D12">
        <f t="shared" ca="1" si="2"/>
        <v>-1.1625142150886156</v>
      </c>
      <c r="E12">
        <f t="shared" ca="1" si="3"/>
        <v>-1.9416968583611025</v>
      </c>
    </row>
    <row r="13" spans="1:5">
      <c r="A13" s="1">
        <v>6</v>
      </c>
      <c r="B13">
        <f t="shared" ca="1" si="0"/>
        <v>-0.27577794767396763</v>
      </c>
      <c r="C13">
        <f t="shared" ca="1" si="1"/>
        <v>-2.3358771045054776</v>
      </c>
      <c r="D13">
        <f t="shared" ca="1" si="2"/>
        <v>0.1091023261850268</v>
      </c>
      <c r="E13">
        <f t="shared" ca="1" si="3"/>
        <v>-1.4442551605038554</v>
      </c>
    </row>
    <row r="14" spans="1:5">
      <c r="A14" s="1">
        <v>7</v>
      </c>
      <c r="B14">
        <f t="shared" ca="1" si="0"/>
        <v>1.2785524522674652</v>
      </c>
      <c r="C14">
        <f t="shared" ca="1" si="1"/>
        <v>-0.59014923133691699</v>
      </c>
      <c r="D14">
        <f t="shared" ca="1" si="2"/>
        <v>1.3612858365696554</v>
      </c>
      <c r="E14">
        <f t="shared" ca="1" si="3"/>
        <v>0.20588170816657114</v>
      </c>
    </row>
    <row r="15" spans="1:5">
      <c r="A15" s="1">
        <v>8</v>
      </c>
      <c r="B15">
        <f t="shared" ca="1" si="0"/>
        <v>-3.555699612004197E-2</v>
      </c>
      <c r="C15">
        <f t="shared" ca="1" si="1"/>
        <v>-0.50767638118957559</v>
      </c>
      <c r="D15">
        <f t="shared" ca="1" si="2"/>
        <v>-0.41912273180028153</v>
      </c>
      <c r="E15">
        <f t="shared" ca="1" si="3"/>
        <v>-0.25441736526702458</v>
      </c>
    </row>
    <row r="16" spans="1:5">
      <c r="A16" s="1">
        <v>9</v>
      </c>
      <c r="B16">
        <f t="shared" ca="1" si="0"/>
        <v>-0.34406599430879992</v>
      </c>
      <c r="C16">
        <f t="shared" ca="1" si="1"/>
        <v>-0.75020709926046036</v>
      </c>
      <c r="D16">
        <f t="shared" ca="1" si="2"/>
        <v>-0.33339889547278734</v>
      </c>
      <c r="E16">
        <f t="shared" ca="1" si="3"/>
        <v>-0.53693278768640695</v>
      </c>
    </row>
    <row r="17" spans="1:5">
      <c r="A17" s="1">
        <v>10</v>
      </c>
      <c r="B17">
        <f t="shared" ca="1" si="0"/>
        <v>0.35512129054208724</v>
      </c>
      <c r="C17">
        <f t="shared" ca="1" si="1"/>
        <v>-0.24504438886628105</v>
      </c>
      <c r="D17">
        <f t="shared" ca="1" si="2"/>
        <v>0.45834108883472724</v>
      </c>
      <c r="E17">
        <f t="shared" ca="1" si="3"/>
        <v>2.8794858685601665E-2</v>
      </c>
    </row>
    <row r="18" spans="1:5">
      <c r="A18" s="1">
        <v>11</v>
      </c>
      <c r="B18">
        <f t="shared" ca="1" si="0"/>
        <v>1.6849414065772716</v>
      </c>
      <c r="C18">
        <f t="shared" ca="1" si="1"/>
        <v>1.4889058954842467</v>
      </c>
      <c r="D18">
        <f t="shared" ca="1" si="2"/>
        <v>1.5784050194146455</v>
      </c>
      <c r="E18">
        <f t="shared" ca="1" si="3"/>
        <v>1.6014409063631267</v>
      </c>
    </row>
    <row r="19" spans="1:5">
      <c r="A19" s="1">
        <v>12</v>
      </c>
      <c r="B19">
        <f t="shared" ca="1" si="0"/>
        <v>0.87606926252073014</v>
      </c>
      <c r="C19">
        <f t="shared" ca="1" si="1"/>
        <v>2.0671939789081275</v>
      </c>
      <c r="D19">
        <f t="shared" ca="1" si="2"/>
        <v>0.37058684054754865</v>
      </c>
      <c r="E19">
        <f t="shared" ca="1" si="3"/>
        <v>1.6517395656380502</v>
      </c>
    </row>
    <row r="20" spans="1:5">
      <c r="A20" s="1">
        <v>13</v>
      </c>
      <c r="B20">
        <f t="shared" ca="1" si="0"/>
        <v>-1.1275934959495066</v>
      </c>
      <c r="C20">
        <f t="shared" ca="1" si="1"/>
        <v>0.52616168717699541</v>
      </c>
      <c r="D20">
        <f t="shared" ca="1" si="2"/>
        <v>-1.3904142747057255</v>
      </c>
      <c r="E20">
        <f t="shared" ca="1" si="3"/>
        <v>-6.902262219528521E-2</v>
      </c>
    </row>
    <row r="21" spans="1:5">
      <c r="A21" s="1">
        <v>14</v>
      </c>
      <c r="B21">
        <f t="shared" ca="1" si="0"/>
        <v>-0.28891130147552163</v>
      </c>
      <c r="C21">
        <f t="shared" ca="1" si="1"/>
        <v>0.13201804826607472</v>
      </c>
      <c r="D21">
        <f t="shared" ca="1" si="2"/>
        <v>4.9366747309330328E-2</v>
      </c>
      <c r="E21">
        <f t="shared" ca="1" si="3"/>
        <v>-5.8513504468978295E-3</v>
      </c>
    </row>
    <row r="22" spans="1:5">
      <c r="A22" s="1">
        <v>15</v>
      </c>
      <c r="B22">
        <f t="shared" ca="1" si="0"/>
        <v>3.0574582147222237E-2</v>
      </c>
      <c r="C22">
        <f t="shared" ca="1" si="1"/>
        <v>0.13618902076008202</v>
      </c>
      <c r="D22">
        <f t="shared" ca="1" si="2"/>
        <v>0.11724797258987872</v>
      </c>
      <c r="E22">
        <f t="shared" ca="1" si="3"/>
        <v>0.11256689223236045</v>
      </c>
    </row>
    <row r="23" spans="1:5">
      <c r="A23" s="1">
        <v>16</v>
      </c>
      <c r="B23">
        <f t="shared" ca="1" si="0"/>
        <v>-0.58249191288411528</v>
      </c>
      <c r="C23">
        <f t="shared" ca="1" si="1"/>
        <v>-0.47354069627604967</v>
      </c>
      <c r="D23">
        <f t="shared" ca="1" si="2"/>
        <v>-0.59166428752828193</v>
      </c>
      <c r="E23">
        <f t="shared" ca="1" si="3"/>
        <v>-0.5016107737423936</v>
      </c>
    </row>
    <row r="24" spans="1:5">
      <c r="A24" s="1">
        <v>17</v>
      </c>
      <c r="B24">
        <f t="shared" ca="1" si="0"/>
        <v>-0.56027297495687645</v>
      </c>
      <c r="C24">
        <f t="shared" ca="1" si="1"/>
        <v>-0.93910553197771618</v>
      </c>
      <c r="D24">
        <f t="shared" ca="1" si="2"/>
        <v>-0.38552540109164191</v>
      </c>
      <c r="E24">
        <f t="shared" ca="1" si="3"/>
        <v>-0.78681402008555679</v>
      </c>
    </row>
    <row r="25" spans="1:5">
      <c r="A25" s="1">
        <v>18</v>
      </c>
      <c r="B25">
        <f t="shared" ca="1" si="0"/>
        <v>0.42270128259130857</v>
      </c>
      <c r="C25">
        <f t="shared" ca="1" si="1"/>
        <v>-0.32858314299086444</v>
      </c>
      <c r="D25">
        <f t="shared" ca="1" si="2"/>
        <v>0.59078317507837153</v>
      </c>
      <c r="E25">
        <f t="shared" ca="1" si="3"/>
        <v>-3.8668040990073926E-2</v>
      </c>
    </row>
    <row r="26" spans="1:5">
      <c r="A26" s="1">
        <v>19</v>
      </c>
      <c r="B26">
        <f t="shared" ca="1" si="0"/>
        <v>1.5475011205292901</v>
      </c>
      <c r="C26">
        <f t="shared" ca="1" si="1"/>
        <v>1.2846346061365985</v>
      </c>
      <c r="D26">
        <f t="shared" ca="1" si="2"/>
        <v>1.4206907357518976</v>
      </c>
      <c r="E26">
        <f t="shared" ca="1" si="3"/>
        <v>1.3897563029598383</v>
      </c>
    </row>
    <row r="27" spans="1:5">
      <c r="A27" s="1">
        <v>20</v>
      </c>
      <c r="B27">
        <f t="shared" ca="1" si="0"/>
        <v>-0.10219575613717691</v>
      </c>
      <c r="C27">
        <f t="shared" ca="1" si="1"/>
        <v>0.92551192877210187</v>
      </c>
      <c r="D27">
        <f t="shared" ca="1" si="2"/>
        <v>-0.56644609229596399</v>
      </c>
      <c r="E27">
        <f t="shared" ca="1" si="3"/>
        <v>0.54535895007190671</v>
      </c>
    </row>
    <row r="28" spans="1:5">
      <c r="A28" s="1">
        <v>21</v>
      </c>
      <c r="B28">
        <f t="shared" ca="1" si="0"/>
        <v>1.0239427833544592</v>
      </c>
      <c r="C28">
        <f t="shared" ca="1" si="1"/>
        <v>1.7643523263721408</v>
      </c>
      <c r="D28">
        <f t="shared" ca="1" si="2"/>
        <v>1.0546015101956123</v>
      </c>
      <c r="E28">
        <f t="shared" ca="1" si="3"/>
        <v>1.4908886702531376</v>
      </c>
    </row>
    <row r="29" spans="1:5">
      <c r="A29" s="1">
        <v>22</v>
      </c>
      <c r="B29">
        <f t="shared" ca="1" si="0"/>
        <v>-6.4553884823274316E-2</v>
      </c>
      <c r="C29">
        <f t="shared" ca="1" si="1"/>
        <v>1.3469279762744384</v>
      </c>
      <c r="D29">
        <f t="shared" ca="1" si="2"/>
        <v>-0.37173671982961209</v>
      </c>
      <c r="E29">
        <f t="shared" ca="1" si="3"/>
        <v>0.82097421637289814</v>
      </c>
    </row>
    <row r="30" spans="1:5">
      <c r="A30" s="1">
        <v>23</v>
      </c>
      <c r="B30">
        <f t="shared" ca="1" si="0"/>
        <v>-0.53401194437970334</v>
      </c>
      <c r="C30">
        <f t="shared" ca="1" si="1"/>
        <v>0.54353043663984746</v>
      </c>
      <c r="D30">
        <f t="shared" ca="1" si="2"/>
        <v>-0.51464577893272101</v>
      </c>
      <c r="E30">
        <f t="shared" ca="1" si="3"/>
        <v>0.14213359416559757</v>
      </c>
    </row>
    <row r="31" spans="1:5">
      <c r="A31" s="1">
        <v>24</v>
      </c>
      <c r="B31">
        <f t="shared" ca="1" si="0"/>
        <v>-0.73340284504322473</v>
      </c>
      <c r="C31">
        <f t="shared" ca="1" si="1"/>
        <v>-0.29857849573134676</v>
      </c>
      <c r="D31">
        <f t="shared" ca="1" si="2"/>
        <v>-0.57319926172931379</v>
      </c>
      <c r="E31">
        <f t="shared" ca="1" si="3"/>
        <v>-0.45949238639683565</v>
      </c>
    </row>
    <row r="32" spans="1:5">
      <c r="A32" s="1">
        <v>25</v>
      </c>
      <c r="B32">
        <f t="shared" ca="1" si="0"/>
        <v>1.2921524422707662</v>
      </c>
      <c r="C32">
        <f t="shared" ca="1" si="1"/>
        <v>1.0532896456856888</v>
      </c>
      <c r="D32">
        <f t="shared" ca="1" si="2"/>
        <v>1.5121732957837337</v>
      </c>
      <c r="E32">
        <f t="shared" ca="1" si="3"/>
        <v>1.144579386666265</v>
      </c>
    </row>
    <row r="33" spans="1:5">
      <c r="A33" s="1">
        <v>26</v>
      </c>
      <c r="B33">
        <f t="shared" ca="1" si="0"/>
        <v>2.5018532356925438</v>
      </c>
      <c r="C33">
        <f t="shared" ca="1" si="1"/>
        <v>3.3444849522410949</v>
      </c>
      <c r="D33">
        <f t="shared" ca="1" si="2"/>
        <v>2.1142075030113139</v>
      </c>
      <c r="E33">
        <f t="shared" ca="1" si="3"/>
        <v>3.029871012344326</v>
      </c>
    </row>
    <row r="34" spans="1:5">
      <c r="A34" s="1">
        <v>27</v>
      </c>
      <c r="B34">
        <f t="shared" ca="1" si="0"/>
        <v>-1.2666500591096175</v>
      </c>
      <c r="C34">
        <f t="shared" ca="1" si="1"/>
        <v>1.4089379026832587</v>
      </c>
      <c r="D34">
        <f t="shared" ca="1" si="2"/>
        <v>-2.0172060298173804</v>
      </c>
      <c r="E34">
        <f t="shared" ca="1" si="3"/>
        <v>0.40669078005808035</v>
      </c>
    </row>
    <row r="35" spans="1:5">
      <c r="A35" s="1">
        <v>28</v>
      </c>
      <c r="B35">
        <f t="shared" ca="1" si="0"/>
        <v>0.8649124633275409</v>
      </c>
      <c r="C35">
        <f t="shared" ca="1" si="1"/>
        <v>1.9920627854741479</v>
      </c>
      <c r="D35">
        <f t="shared" ca="1" si="2"/>
        <v>1.2449074810604261</v>
      </c>
      <c r="E35">
        <f t="shared" ca="1" si="3"/>
        <v>1.5702601051068905</v>
      </c>
    </row>
    <row r="36" spans="1:5">
      <c r="A36" s="1">
        <v>29</v>
      </c>
      <c r="B36">
        <f t="shared" ca="1" si="0"/>
        <v>0.36250415144072801</v>
      </c>
      <c r="C36">
        <f t="shared" ca="1" si="1"/>
        <v>1.9561543798200463</v>
      </c>
      <c r="D36">
        <f t="shared" ca="1" si="2"/>
        <v>0.10303041244246575</v>
      </c>
      <c r="E36">
        <f t="shared" ca="1" si="3"/>
        <v>1.3592384965279782</v>
      </c>
    </row>
    <row r="37" spans="1:5">
      <c r="A37" s="1">
        <v>30</v>
      </c>
      <c r="B37">
        <f t="shared" ca="1" si="0"/>
        <v>0.82007288539506229</v>
      </c>
      <c r="C37">
        <f t="shared" ca="1" si="1"/>
        <v>2.3849963892510995</v>
      </c>
      <c r="D37">
        <f t="shared" ca="1" si="2"/>
        <v>0.71132163996284392</v>
      </c>
      <c r="E37">
        <f t="shared" ca="1" si="3"/>
        <v>1.7987124371852266</v>
      </c>
    </row>
    <row r="38" spans="1:5">
      <c r="A38" s="1">
        <v>31</v>
      </c>
      <c r="B38">
        <f t="shared" ca="1" si="0"/>
        <v>0.80146543334403031</v>
      </c>
      <c r="C38">
        <f t="shared" ca="1" si="1"/>
        <v>2.7094625447449099</v>
      </c>
      <c r="D38">
        <f t="shared" ca="1" si="2"/>
        <v>0.55544356772551162</v>
      </c>
      <c r="E38">
        <f t="shared" ca="1" si="3"/>
        <v>1.994413517473693</v>
      </c>
    </row>
    <row r="39" spans="1:5">
      <c r="A39" s="1">
        <v>32</v>
      </c>
      <c r="B39">
        <f t="shared" ca="1" si="0"/>
        <v>-1.1751471049932014</v>
      </c>
      <c r="C39">
        <f t="shared" ca="1" si="1"/>
        <v>0.99242293080272659</v>
      </c>
      <c r="D39">
        <f t="shared" ca="1" si="2"/>
        <v>-1.4155867349964104</v>
      </c>
      <c r="E39">
        <f t="shared" ca="1" si="3"/>
        <v>0.17994407898254416</v>
      </c>
    </row>
    <row r="40" spans="1:5">
      <c r="A40" s="1">
        <v>33</v>
      </c>
      <c r="B40">
        <f t="shared" ca="1" si="0"/>
        <v>0.5280783407088554</v>
      </c>
      <c r="C40">
        <f t="shared" ca="1" si="1"/>
        <v>1.3220166853510367</v>
      </c>
      <c r="D40">
        <f t="shared" ca="1" si="2"/>
        <v>0.88062247220681589</v>
      </c>
      <c r="E40">
        <f t="shared" ca="1" si="3"/>
        <v>1.0245777353928511</v>
      </c>
    </row>
    <row r="41" spans="1:5">
      <c r="A41" s="1">
        <v>34</v>
      </c>
      <c r="B41">
        <f t="shared" ca="1" si="0"/>
        <v>0.81748741825669236</v>
      </c>
      <c r="C41">
        <f t="shared" ca="1" si="1"/>
        <v>1.8751007665375217</v>
      </c>
      <c r="D41">
        <f t="shared" ca="1" si="2"/>
        <v>0.65906391604403569</v>
      </c>
      <c r="E41">
        <f t="shared" ca="1" si="3"/>
        <v>1.4787261043583166</v>
      </c>
    </row>
    <row r="42" spans="1:5">
      <c r="A42" s="1">
        <v>35</v>
      </c>
      <c r="B42">
        <f t="shared" ca="1" si="0"/>
        <v>1.1060182257900135</v>
      </c>
      <c r="C42">
        <f t="shared" ca="1" si="1"/>
        <v>2.606098839020031</v>
      </c>
      <c r="D42">
        <f t="shared" ca="1" si="2"/>
        <v>0.86077200031300583</v>
      </c>
      <c r="E42">
        <f t="shared" ca="1" si="3"/>
        <v>2.0437528837996592</v>
      </c>
    </row>
    <row r="43" spans="1:5">
      <c r="A43" s="1">
        <v>36</v>
      </c>
      <c r="B43">
        <f t="shared" ca="1" si="0"/>
        <v>0.98306762829284255</v>
      </c>
      <c r="C43">
        <f t="shared" ca="1" si="1"/>
        <v>3.0679466995088678</v>
      </c>
      <c r="D43">
        <f t="shared" ca="1" si="2"/>
        <v>0.65126216055583852</v>
      </c>
      <c r="E43">
        <f t="shared" ca="1" si="3"/>
        <v>2.2862644675955659</v>
      </c>
    </row>
    <row r="44" spans="1:5">
      <c r="A44" s="1">
        <v>37</v>
      </c>
      <c r="B44">
        <f t="shared" ca="1" si="0"/>
        <v>0.43870393888074161</v>
      </c>
      <c r="C44">
        <f t="shared" ca="1" si="1"/>
        <v>2.8930612984878357</v>
      </c>
      <c r="D44">
        <f t="shared" ca="1" si="2"/>
        <v>0.14378365039288887</v>
      </c>
      <c r="E44">
        <f t="shared" ca="1" si="3"/>
        <v>1.9727952244693416</v>
      </c>
    </row>
    <row r="45" spans="1:5">
      <c r="A45" s="1">
        <v>38</v>
      </c>
      <c r="B45">
        <f t="shared" ca="1" si="0"/>
        <v>-0.45390595412335599</v>
      </c>
      <c r="C45">
        <f t="shared" ca="1" si="1"/>
        <v>1.8605430846669124</v>
      </c>
      <c r="D45">
        <f t="shared" ca="1" si="2"/>
        <v>-0.58551713578757847</v>
      </c>
      <c r="E45">
        <f t="shared" ca="1" si="3"/>
        <v>0.99271904378789488</v>
      </c>
    </row>
    <row r="46" spans="1:5">
      <c r="A46" s="1">
        <v>39</v>
      </c>
      <c r="B46">
        <f t="shared" ca="1" si="0"/>
        <v>0.51207285458992002</v>
      </c>
      <c r="C46">
        <f t="shared" ca="1" si="1"/>
        <v>2.00050732232345</v>
      </c>
      <c r="D46">
        <f t="shared" ca="1" si="2"/>
        <v>0.64824464082692679</v>
      </c>
      <c r="E46">
        <f t="shared" ca="1" si="3"/>
        <v>1.4424198758572429</v>
      </c>
    </row>
    <row r="47" spans="1:5">
      <c r="A47" s="1">
        <v>40</v>
      </c>
      <c r="B47">
        <f t="shared" ca="1" si="0"/>
        <v>-0.94285945436176699</v>
      </c>
      <c r="C47">
        <f t="shared" ca="1" si="1"/>
        <v>0.65754640349699311</v>
      </c>
      <c r="D47">
        <f t="shared" ca="1" si="2"/>
        <v>-1.096481310738743</v>
      </c>
      <c r="E47">
        <f t="shared" ca="1" si="3"/>
        <v>5.7454589947051327E-2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32D7-49C0-3E4B-AC29-3E2FA30402E8}">
  <dimension ref="C2"/>
  <sheetViews>
    <sheetView zoomScale="230" zoomScaleNormal="230" workbookViewId="0">
      <selection activeCell="C2" sqref="C2"/>
    </sheetView>
  </sheetViews>
  <sheetFormatPr defaultColWidth="10.90625" defaultRowHeight="15"/>
  <sheetData>
    <row r="2" spans="3:3">
      <c r="C2" s="2">
        <v>1.32032788779782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511CDFD32BAE4DB6984ACFD1117AAF" ma:contentTypeVersion="16" ma:contentTypeDescription="Crie um novo documento." ma:contentTypeScope="" ma:versionID="567636e12481b00e06c54be8cfe8fcab">
  <xsd:schema xmlns:xsd="http://www.w3.org/2001/XMLSchema" xmlns:xs="http://www.w3.org/2001/XMLSchema" xmlns:p="http://schemas.microsoft.com/office/2006/metadata/properties" xmlns:ns2="5e253ad8-99bc-4895-b377-eab5d2679348" xmlns:ns3="45bd9b4a-47bd-4c71-9096-100877aa1038" targetNamespace="http://schemas.microsoft.com/office/2006/metadata/properties" ma:root="true" ma:fieldsID="a9b987c48a05083b84bb40a562c95e7a" ns2:_="" ns3:_="">
    <xsd:import namespace="5e253ad8-99bc-4895-b377-eab5d2679348"/>
    <xsd:import namespace="45bd9b4a-47bd-4c71-9096-100877aa103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53ad8-99bc-4895-b377-eab5d267934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f329bc3-ce7e-4e75-9c56-962f8f350e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d9b4a-47bd-4c71-9096-100877aa103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1c5c36c-1c45-4119-aa3b-41677bff21c6}" ma:internalName="TaxCatchAll" ma:showField="CatchAllData" ma:web="45bd9b4a-47bd-4c71-9096-100877aa1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53ad8-99bc-4895-b377-eab5d2679348">
      <Terms xmlns="http://schemas.microsoft.com/office/infopath/2007/PartnerControls"/>
    </lcf76f155ced4ddcb4097134ff3c332f>
    <TaxCatchAll xmlns="45bd9b4a-47bd-4c71-9096-100877aa103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B4D40A-CD54-4453-A0B9-3CD2280830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253ad8-99bc-4895-b377-eab5d2679348"/>
    <ds:schemaRef ds:uri="45bd9b4a-47bd-4c71-9096-100877aa10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9430C8-79AE-46D6-9C4F-9F4FF129B3A3}">
  <ds:schemaRefs>
    <ds:schemaRef ds:uri="http://schemas.microsoft.com/office/2006/metadata/properties"/>
    <ds:schemaRef ds:uri="http://schemas.microsoft.com/office/infopath/2007/PartnerControls"/>
    <ds:schemaRef ds:uri="5e253ad8-99bc-4895-b377-eab5d2679348"/>
    <ds:schemaRef ds:uri="45bd9b4a-47bd-4c71-9096-100877aa1038"/>
  </ds:schemaRefs>
</ds:datastoreItem>
</file>

<file path=customXml/itemProps3.xml><?xml version="1.0" encoding="utf-8"?>
<ds:datastoreItem xmlns:ds="http://schemas.openxmlformats.org/officeDocument/2006/customXml" ds:itemID="{C834BEF4-3CA1-4F7E-9DEB-48D8C331BD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Guasti Lima</dc:creator>
  <cp:lastModifiedBy>Alexandre Duarte</cp:lastModifiedBy>
  <dcterms:created xsi:type="dcterms:W3CDTF">2026-05-26T19:43:20Z</dcterms:created>
  <dcterms:modified xsi:type="dcterms:W3CDTF">2026-06-12T01:49:42Z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0x010100FD511CDFD32BAE4DB6984ACFD1117AAF</vt:lpwstr>
  </property>
</Properties>
</file>