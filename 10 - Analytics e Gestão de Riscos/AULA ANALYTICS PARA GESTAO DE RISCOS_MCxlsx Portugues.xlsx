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olima/Documents/PECEGE/DATA SCIENCE ANALYTICS/ANALYTICS AVALIAÇÃO E RISCO/MATERIAL 2025/"/>
    </mc:Choice>
  </mc:AlternateContent>
  <xr:revisionPtr revIDLastSave="0" documentId="13_ncr:1_{D7EFC29C-BD83-9349-A95E-0D1F0F4197E1}" xr6:coauthVersionLast="47" xr6:coauthVersionMax="47" xr10:uidLastSave="{00000000-0000-0000-0000-000000000000}"/>
  <bookViews>
    <workbookView xWindow="380" yWindow="500" windowWidth="28040" windowHeight="16400" xr2:uid="{078EFBBF-B166-E142-AA4B-D43E54530C85}"/>
  </bookViews>
  <sheets>
    <sheet name="Risco e Volatilidade" sheetId="3" r:id="rId1"/>
    <sheet name="Correlação" sheetId="4" r:id="rId2"/>
    <sheet name="Markowitz" sheetId="5" r:id="rId3"/>
    <sheet name="Risco Crédito" sheetId="1" r:id="rId4"/>
    <sheet name="Risco Operacional" sheetId="2" r:id="rId5"/>
    <sheet name="Fluxos de Caixa e Risc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8" i="4" l="1"/>
  <c r="I118" i="4"/>
  <c r="F118" i="4"/>
  <c r="C118" i="4"/>
  <c r="L117" i="4"/>
  <c r="I117" i="4"/>
  <c r="F117" i="4"/>
  <c r="C117" i="4"/>
  <c r="L116" i="4"/>
  <c r="I116" i="4"/>
  <c r="F116" i="4"/>
  <c r="C116" i="4"/>
  <c r="L115" i="4"/>
  <c r="I115" i="4"/>
  <c r="F115" i="4"/>
  <c r="C115" i="4"/>
  <c r="L114" i="4"/>
  <c r="I114" i="4"/>
  <c r="F114" i="4"/>
  <c r="C114" i="4"/>
  <c r="L113" i="4"/>
  <c r="I113" i="4"/>
  <c r="F113" i="4"/>
  <c r="C113" i="4"/>
  <c r="L112" i="4"/>
  <c r="I112" i="4"/>
  <c r="F112" i="4"/>
  <c r="C112" i="4"/>
  <c r="L111" i="4"/>
  <c r="I111" i="4"/>
  <c r="F111" i="4"/>
  <c r="C111" i="4"/>
  <c r="L110" i="4"/>
  <c r="I110" i="4"/>
  <c r="F110" i="4"/>
  <c r="C110" i="4"/>
  <c r="L109" i="4"/>
  <c r="I109" i="4"/>
  <c r="F109" i="4"/>
  <c r="C109" i="4"/>
  <c r="L108" i="4"/>
  <c r="I108" i="4"/>
  <c r="F108" i="4"/>
  <c r="C108" i="4"/>
  <c r="L107" i="4"/>
  <c r="I107" i="4"/>
  <c r="F107" i="4"/>
  <c r="C107" i="4"/>
  <c r="L106" i="4"/>
  <c r="I106" i="4"/>
  <c r="F106" i="4"/>
  <c r="C106" i="4"/>
  <c r="L105" i="4"/>
  <c r="I105" i="4"/>
  <c r="F105" i="4"/>
  <c r="C105" i="4"/>
  <c r="L104" i="4"/>
  <c r="I104" i="4"/>
  <c r="F104" i="4"/>
  <c r="C104" i="4"/>
  <c r="L103" i="4"/>
  <c r="I103" i="4"/>
  <c r="F103" i="4"/>
  <c r="C103" i="4"/>
  <c r="L102" i="4"/>
  <c r="I102" i="4"/>
  <c r="F102" i="4"/>
  <c r="C102" i="4"/>
  <c r="L101" i="4"/>
  <c r="I101" i="4"/>
  <c r="F101" i="4"/>
  <c r="C101" i="4"/>
  <c r="L100" i="4"/>
  <c r="I100" i="4"/>
  <c r="F100" i="4"/>
  <c r="C100" i="4"/>
  <c r="L99" i="4"/>
  <c r="I99" i="4"/>
  <c r="F99" i="4"/>
  <c r="C99" i="4"/>
  <c r="L98" i="4"/>
  <c r="I98" i="4"/>
  <c r="F98" i="4"/>
  <c r="C98" i="4"/>
  <c r="L97" i="4"/>
  <c r="I97" i="4"/>
  <c r="F97" i="4"/>
  <c r="C97" i="4"/>
  <c r="L96" i="4"/>
  <c r="I96" i="4"/>
  <c r="F96" i="4"/>
  <c r="C96" i="4"/>
  <c r="L95" i="4"/>
  <c r="I95" i="4"/>
  <c r="F95" i="4"/>
  <c r="C95" i="4"/>
  <c r="L94" i="4"/>
  <c r="I94" i="4"/>
  <c r="F94" i="4"/>
  <c r="C94" i="4"/>
  <c r="L93" i="4"/>
  <c r="I93" i="4"/>
  <c r="F93" i="4"/>
  <c r="C93" i="4"/>
  <c r="L92" i="4"/>
  <c r="I92" i="4"/>
  <c r="F92" i="4"/>
  <c r="C92" i="4"/>
  <c r="L91" i="4"/>
  <c r="I91" i="4"/>
  <c r="F91" i="4"/>
  <c r="C91" i="4"/>
  <c r="L90" i="4"/>
  <c r="I90" i="4"/>
  <c r="F90" i="4"/>
  <c r="C90" i="4"/>
  <c r="L89" i="4"/>
  <c r="I89" i="4"/>
  <c r="F89" i="4"/>
  <c r="C89" i="4"/>
  <c r="L88" i="4"/>
  <c r="I88" i="4"/>
  <c r="F88" i="4"/>
  <c r="C88" i="4"/>
  <c r="L87" i="4"/>
  <c r="I87" i="4"/>
  <c r="F87" i="4"/>
  <c r="C87" i="4"/>
  <c r="L86" i="4"/>
  <c r="I86" i="4"/>
  <c r="F86" i="4"/>
  <c r="C86" i="4"/>
  <c r="L85" i="4"/>
  <c r="I85" i="4"/>
  <c r="F85" i="4"/>
  <c r="C85" i="4"/>
  <c r="L84" i="4"/>
  <c r="I84" i="4"/>
  <c r="F84" i="4"/>
  <c r="C84" i="4"/>
  <c r="L83" i="4"/>
  <c r="I83" i="4"/>
  <c r="F83" i="4"/>
  <c r="C83" i="4"/>
  <c r="L82" i="4"/>
  <c r="I82" i="4"/>
  <c r="F82" i="4"/>
  <c r="C82" i="4"/>
  <c r="L81" i="4"/>
  <c r="I81" i="4"/>
  <c r="F81" i="4"/>
  <c r="C81" i="4"/>
  <c r="L80" i="4"/>
  <c r="I80" i="4"/>
  <c r="F80" i="4"/>
  <c r="C80" i="4"/>
  <c r="L79" i="4"/>
  <c r="I79" i="4"/>
  <c r="F79" i="4"/>
  <c r="C79" i="4"/>
  <c r="L78" i="4"/>
  <c r="I78" i="4"/>
  <c r="F78" i="4"/>
  <c r="C78" i="4"/>
  <c r="L77" i="4"/>
  <c r="I77" i="4"/>
  <c r="F77" i="4"/>
  <c r="C77" i="4"/>
  <c r="L76" i="4"/>
  <c r="I76" i="4"/>
  <c r="F76" i="4"/>
  <c r="C76" i="4"/>
  <c r="L75" i="4"/>
  <c r="I75" i="4"/>
  <c r="F75" i="4"/>
  <c r="C75" i="4"/>
  <c r="L74" i="4"/>
  <c r="I74" i="4"/>
  <c r="F74" i="4"/>
  <c r="C74" i="4"/>
  <c r="L73" i="4"/>
  <c r="I73" i="4"/>
  <c r="F73" i="4"/>
  <c r="C73" i="4"/>
  <c r="L72" i="4"/>
  <c r="I72" i="4"/>
  <c r="F72" i="4"/>
  <c r="C72" i="4"/>
  <c r="L71" i="4"/>
  <c r="I71" i="4"/>
  <c r="F71" i="4"/>
  <c r="C71" i="4"/>
  <c r="L70" i="4"/>
  <c r="I70" i="4"/>
  <c r="F70" i="4"/>
  <c r="C70" i="4"/>
  <c r="L69" i="4"/>
  <c r="I69" i="4"/>
  <c r="F69" i="4"/>
  <c r="C69" i="4"/>
  <c r="L68" i="4"/>
  <c r="I68" i="4"/>
  <c r="F68" i="4"/>
  <c r="C68" i="4"/>
  <c r="L67" i="4"/>
  <c r="I67" i="4"/>
  <c r="F67" i="4"/>
  <c r="C67" i="4"/>
  <c r="L66" i="4"/>
  <c r="I66" i="4"/>
  <c r="F66" i="4"/>
  <c r="C66" i="4"/>
  <c r="L65" i="4"/>
  <c r="I65" i="4"/>
  <c r="F65" i="4"/>
  <c r="C65" i="4"/>
  <c r="L64" i="4"/>
  <c r="I64" i="4"/>
  <c r="F64" i="4"/>
  <c r="C64" i="4"/>
  <c r="L63" i="4"/>
  <c r="I63" i="4"/>
  <c r="F63" i="4"/>
  <c r="C63" i="4"/>
  <c r="L62" i="4"/>
  <c r="I62" i="4"/>
  <c r="F62" i="4"/>
  <c r="C62" i="4"/>
  <c r="L61" i="4"/>
  <c r="I61" i="4"/>
  <c r="F61" i="4"/>
  <c r="C61" i="4"/>
  <c r="L60" i="4"/>
  <c r="I60" i="4"/>
  <c r="F60" i="4"/>
  <c r="C60" i="4"/>
  <c r="L59" i="4"/>
  <c r="I59" i="4"/>
  <c r="F59" i="4"/>
  <c r="C59" i="4"/>
  <c r="L58" i="4"/>
  <c r="I58" i="4"/>
  <c r="F58" i="4"/>
  <c r="C58" i="4"/>
  <c r="L57" i="4"/>
  <c r="I57" i="4"/>
  <c r="F57" i="4"/>
  <c r="C57" i="4"/>
  <c r="L56" i="4"/>
  <c r="I56" i="4"/>
  <c r="F56" i="4"/>
  <c r="C56" i="4"/>
  <c r="L55" i="4"/>
  <c r="I55" i="4"/>
  <c r="F55" i="4"/>
  <c r="C55" i="4"/>
  <c r="L54" i="4"/>
  <c r="I54" i="4"/>
  <c r="F54" i="4"/>
  <c r="C54" i="4"/>
  <c r="L53" i="4"/>
  <c r="I53" i="4"/>
  <c r="F53" i="4"/>
  <c r="C53" i="4"/>
  <c r="L52" i="4"/>
  <c r="I52" i="4"/>
  <c r="F52" i="4"/>
  <c r="C52" i="4"/>
  <c r="L51" i="4"/>
  <c r="I51" i="4"/>
  <c r="F51" i="4"/>
  <c r="C51" i="4"/>
  <c r="L50" i="4"/>
  <c r="I50" i="4"/>
  <c r="F50" i="4"/>
  <c r="C50" i="4"/>
  <c r="L49" i="4"/>
  <c r="I49" i="4"/>
  <c r="F49" i="4"/>
  <c r="C49" i="4"/>
  <c r="L48" i="4"/>
  <c r="I48" i="4"/>
  <c r="F48" i="4"/>
  <c r="C48" i="4"/>
  <c r="L47" i="4"/>
  <c r="I47" i="4"/>
  <c r="F47" i="4"/>
  <c r="C47" i="4"/>
  <c r="L46" i="4"/>
  <c r="I46" i="4"/>
  <c r="F46" i="4"/>
  <c r="C46" i="4"/>
  <c r="L45" i="4"/>
  <c r="I45" i="4"/>
  <c r="F45" i="4"/>
  <c r="C45" i="4"/>
  <c r="L44" i="4"/>
  <c r="I44" i="4"/>
  <c r="F44" i="4"/>
  <c r="C44" i="4"/>
  <c r="L43" i="4"/>
  <c r="I43" i="4"/>
  <c r="F43" i="4"/>
  <c r="C43" i="4"/>
  <c r="L42" i="4"/>
  <c r="I42" i="4"/>
  <c r="F42" i="4"/>
  <c r="C42" i="4"/>
  <c r="L41" i="4"/>
  <c r="I41" i="4"/>
  <c r="F41" i="4"/>
  <c r="C41" i="4"/>
  <c r="L40" i="4"/>
  <c r="I40" i="4"/>
  <c r="F40" i="4"/>
  <c r="C40" i="4"/>
  <c r="L39" i="4"/>
  <c r="I39" i="4"/>
  <c r="F39" i="4"/>
  <c r="C39" i="4"/>
  <c r="L38" i="4"/>
  <c r="I38" i="4"/>
  <c r="F38" i="4"/>
  <c r="C38" i="4"/>
  <c r="L37" i="4"/>
  <c r="I37" i="4"/>
  <c r="F37" i="4"/>
  <c r="C37" i="4"/>
  <c r="L36" i="4"/>
  <c r="I36" i="4"/>
  <c r="F36" i="4"/>
  <c r="C36" i="4"/>
  <c r="L35" i="4"/>
  <c r="I35" i="4"/>
  <c r="F35" i="4"/>
  <c r="C35" i="4"/>
  <c r="L34" i="4"/>
  <c r="I34" i="4"/>
  <c r="F34" i="4"/>
  <c r="C34" i="4"/>
  <c r="L33" i="4"/>
  <c r="I33" i="4"/>
  <c r="F33" i="4"/>
  <c r="C33" i="4"/>
  <c r="L32" i="4"/>
  <c r="I32" i="4"/>
  <c r="F32" i="4"/>
  <c r="C32" i="4"/>
  <c r="L31" i="4"/>
  <c r="I31" i="4"/>
  <c r="F31" i="4"/>
  <c r="C31" i="4"/>
  <c r="L30" i="4"/>
  <c r="I30" i="4"/>
  <c r="F30" i="4"/>
  <c r="C30" i="4"/>
  <c r="L29" i="4"/>
  <c r="I29" i="4"/>
  <c r="F29" i="4"/>
  <c r="C29" i="4"/>
  <c r="L28" i="4"/>
  <c r="I28" i="4"/>
  <c r="F28" i="4"/>
  <c r="C28" i="4"/>
  <c r="L27" i="4"/>
  <c r="I27" i="4"/>
  <c r="F27" i="4"/>
  <c r="C27" i="4"/>
  <c r="L26" i="4"/>
  <c r="I26" i="4"/>
  <c r="F26" i="4"/>
  <c r="C26" i="4"/>
  <c r="L25" i="4"/>
  <c r="I25" i="4"/>
  <c r="F25" i="4"/>
  <c r="C25" i="4"/>
  <c r="L24" i="4"/>
  <c r="I24" i="4"/>
  <c r="F24" i="4"/>
  <c r="C24" i="4"/>
  <c r="L23" i="4"/>
  <c r="I23" i="4"/>
  <c r="F23" i="4"/>
  <c r="C23" i="4"/>
  <c r="L22" i="4"/>
  <c r="I22" i="4"/>
  <c r="F22" i="4"/>
  <c r="C22" i="4"/>
  <c r="L21" i="4"/>
  <c r="I21" i="4"/>
  <c r="F21" i="4"/>
  <c r="C21" i="4"/>
  <c r="L20" i="4"/>
  <c r="I20" i="4"/>
  <c r="F20" i="4"/>
  <c r="C20" i="4"/>
  <c r="L19" i="4"/>
  <c r="I19" i="4"/>
  <c r="F19" i="4"/>
  <c r="C19" i="4"/>
  <c r="L18" i="4"/>
  <c r="I18" i="4"/>
  <c r="F18" i="4"/>
  <c r="C18" i="4"/>
  <c r="L17" i="4"/>
  <c r="I17" i="4"/>
  <c r="F17" i="4"/>
  <c r="C17" i="4"/>
  <c r="L16" i="4"/>
  <c r="I16" i="4"/>
  <c r="F16" i="4"/>
  <c r="C16" i="4"/>
  <c r="L15" i="4"/>
  <c r="I15" i="4"/>
  <c r="F15" i="4"/>
  <c r="C15" i="4"/>
  <c r="L14" i="4"/>
  <c r="I14" i="4"/>
  <c r="F14" i="4"/>
  <c r="C14" i="4"/>
  <c r="L13" i="4"/>
  <c r="I13" i="4"/>
  <c r="F13" i="4"/>
  <c r="C13" i="4"/>
  <c r="L12" i="4"/>
  <c r="I12" i="4"/>
  <c r="F12" i="4"/>
  <c r="C12" i="4"/>
  <c r="L11" i="4"/>
  <c r="I11" i="4"/>
  <c r="F11" i="4"/>
  <c r="C11" i="4"/>
  <c r="L10" i="4"/>
  <c r="I10" i="4"/>
  <c r="F10" i="4"/>
  <c r="C10" i="4"/>
  <c r="L9" i="4"/>
  <c r="I9" i="4"/>
  <c r="F9" i="4"/>
  <c r="C9" i="4"/>
  <c r="L8" i="4"/>
  <c r="I8" i="4"/>
  <c r="F8" i="4"/>
  <c r="C8" i="4"/>
  <c r="L7" i="4"/>
  <c r="I7" i="4"/>
  <c r="F7" i="4"/>
  <c r="C7" i="4"/>
  <c r="L6" i="4"/>
  <c r="I6" i="4"/>
  <c r="F6" i="4"/>
  <c r="C6" i="4"/>
  <c r="L5" i="4"/>
  <c r="I5" i="4"/>
  <c r="F5" i="4"/>
  <c r="C5" i="4"/>
  <c r="L4" i="4"/>
  <c r="I4" i="4"/>
  <c r="F4" i="4"/>
  <c r="C4" i="4"/>
  <c r="L3" i="4"/>
  <c r="I3" i="4"/>
  <c r="F3" i="4"/>
  <c r="C3" i="4"/>
  <c r="O2" i="4"/>
  <c r="D3" i="1"/>
  <c r="D4" i="1"/>
  <c r="D2" i="1"/>
</calcChain>
</file>

<file path=xl/sharedStrings.xml><?xml version="1.0" encoding="utf-8"?>
<sst xmlns="http://schemas.openxmlformats.org/spreadsheetml/2006/main" count="39" uniqueCount="31">
  <si>
    <t>Créditos</t>
  </si>
  <si>
    <t>A</t>
  </si>
  <si>
    <t>B</t>
  </si>
  <si>
    <t>C</t>
  </si>
  <si>
    <t>Exposição</t>
  </si>
  <si>
    <t>Prob Default</t>
  </si>
  <si>
    <t>Prob. Não Default</t>
  </si>
  <si>
    <t>Taxa Recuperação</t>
  </si>
  <si>
    <t>Risco Operacional</t>
  </si>
  <si>
    <t>Núm. Eventos</t>
  </si>
  <si>
    <t>Probabilidades</t>
  </si>
  <si>
    <t>Magnitude</t>
  </si>
  <si>
    <t>Período</t>
  </si>
  <si>
    <t>PETR4</t>
  </si>
  <si>
    <t>IBOVESPA</t>
  </si>
  <si>
    <t>Café Arábica</t>
  </si>
  <si>
    <t>Data</t>
  </si>
  <si>
    <t>ibov</t>
  </si>
  <si>
    <t>Dólar</t>
  </si>
  <si>
    <t>petr4</t>
  </si>
  <si>
    <t>vale3</t>
  </si>
  <si>
    <t>Ativo A</t>
  </si>
  <si>
    <t>Ativo B</t>
  </si>
  <si>
    <t>Ano 1</t>
  </si>
  <si>
    <t>Correlação</t>
  </si>
  <si>
    <t>Ano 2</t>
  </si>
  <si>
    <t>Ano 3</t>
  </si>
  <si>
    <t>Ano 4</t>
  </si>
  <si>
    <t>Ano 5</t>
  </si>
  <si>
    <t>Fluxo de Caixa Original</t>
  </si>
  <si>
    <t>Ano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</si>
</sst>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0" xfId="0" applyNumberFormat="1"/>
    <xf numFmtId="0" fontId="0" fillId="2" borderId="0" xfId="0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/>
    <xf numFmtId="43" fontId="0" fillId="0" borderId="0" xfId="3" applyFont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2" borderId="0" xfId="0" applyFill="1"/>
    <xf numFmtId="43" fontId="0" fillId="2" borderId="0" xfId="3" applyFont="1" applyFill="1"/>
    <xf numFmtId="9" fontId="0" fillId="2" borderId="0" xfId="0" applyNumberFormat="1" applyFill="1" applyAlignment="1">
      <alignment horizontal="center"/>
    </xf>
    <xf numFmtId="0" fontId="3" fillId="0" borderId="0" xfId="4"/>
    <xf numFmtId="17" fontId="3" fillId="0" borderId="0" xfId="4" applyNumberFormat="1"/>
    <xf numFmtId="0" fontId="4" fillId="0" borderId="0" xfId="0" applyFont="1" applyAlignment="1">
      <alignment horizontal="center"/>
    </xf>
    <xf numFmtId="43" fontId="2" fillId="0" borderId="0" xfId="3" applyFont="1"/>
    <xf numFmtId="43" fontId="2" fillId="0" borderId="0" xfId="0" applyNumberFormat="1" applyFont="1"/>
    <xf numFmtId="17" fontId="0" fillId="0" borderId="0" xfId="0" applyNumberFormat="1" applyAlignment="1">
      <alignment horizontal="center"/>
    </xf>
    <xf numFmtId="4" fontId="0" fillId="0" borderId="0" xfId="0" applyNumberFormat="1"/>
  </cellXfs>
  <cellStyles count="5">
    <cellStyle name="Moeda" xfId="1" builtinId="4"/>
    <cellStyle name="Normal" xfId="0" builtinId="0"/>
    <cellStyle name="Normal 2" xfId="4" xr:uid="{A798CBE1-19AB-0341-B931-CA378DB94082}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Ibovespa</a:t>
            </a:r>
            <a:r>
              <a:rPr lang="en-US" baseline="0"/>
              <a:t> X Dólar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Ibovespa</c:v>
          </c:tx>
          <c:marker>
            <c:symbol val="none"/>
          </c:marker>
          <c:xVal>
            <c:numRef>
              <c:f>Correlação!$A$2:$A$118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Correlação!$B$2:$B$118</c:f>
              <c:numCache>
                <c:formatCode>General</c:formatCode>
                <c:ptCount val="117"/>
                <c:pt idx="0">
                  <c:v>65401</c:v>
                </c:pt>
                <c:pt idx="1">
                  <c:v>66503</c:v>
                </c:pt>
                <c:pt idx="2">
                  <c:v>70371</c:v>
                </c:pt>
                <c:pt idx="3">
                  <c:v>67529</c:v>
                </c:pt>
                <c:pt idx="4">
                  <c:v>63046</c:v>
                </c:pt>
                <c:pt idx="5">
                  <c:v>60935</c:v>
                </c:pt>
                <c:pt idx="6">
                  <c:v>67515</c:v>
                </c:pt>
                <c:pt idx="7">
                  <c:v>65145</c:v>
                </c:pt>
                <c:pt idx="8">
                  <c:v>69429</c:v>
                </c:pt>
                <c:pt idx="9">
                  <c:v>70673</c:v>
                </c:pt>
                <c:pt idx="10">
                  <c:v>67705</c:v>
                </c:pt>
                <c:pt idx="11">
                  <c:v>69304</c:v>
                </c:pt>
                <c:pt idx="12">
                  <c:v>66574</c:v>
                </c:pt>
                <c:pt idx="13">
                  <c:v>67383</c:v>
                </c:pt>
                <c:pt idx="14">
                  <c:v>68586</c:v>
                </c:pt>
                <c:pt idx="15">
                  <c:v>66132</c:v>
                </c:pt>
                <c:pt idx="16">
                  <c:v>64620</c:v>
                </c:pt>
                <c:pt idx="17">
                  <c:v>62403</c:v>
                </c:pt>
                <c:pt idx="18">
                  <c:v>58823</c:v>
                </c:pt>
                <c:pt idx="19">
                  <c:v>56495</c:v>
                </c:pt>
                <c:pt idx="20">
                  <c:v>52324</c:v>
                </c:pt>
                <c:pt idx="21">
                  <c:v>58338</c:v>
                </c:pt>
                <c:pt idx="22">
                  <c:v>56874</c:v>
                </c:pt>
                <c:pt idx="23">
                  <c:v>56754</c:v>
                </c:pt>
                <c:pt idx="24">
                  <c:v>63072</c:v>
                </c:pt>
                <c:pt idx="25">
                  <c:v>65811</c:v>
                </c:pt>
                <c:pt idx="26">
                  <c:v>64510</c:v>
                </c:pt>
                <c:pt idx="27">
                  <c:v>61820</c:v>
                </c:pt>
                <c:pt idx="28">
                  <c:v>54490</c:v>
                </c:pt>
                <c:pt idx="29">
                  <c:v>54354</c:v>
                </c:pt>
                <c:pt idx="30">
                  <c:v>56097</c:v>
                </c:pt>
                <c:pt idx="31">
                  <c:v>57061</c:v>
                </c:pt>
                <c:pt idx="32">
                  <c:v>59175</c:v>
                </c:pt>
                <c:pt idx="33">
                  <c:v>57068</c:v>
                </c:pt>
                <c:pt idx="34">
                  <c:v>57474</c:v>
                </c:pt>
                <c:pt idx="35">
                  <c:v>60952</c:v>
                </c:pt>
                <c:pt idx="36">
                  <c:v>59761</c:v>
                </c:pt>
                <c:pt idx="37">
                  <c:v>57424</c:v>
                </c:pt>
                <c:pt idx="38">
                  <c:v>56352</c:v>
                </c:pt>
                <c:pt idx="39">
                  <c:v>55910</c:v>
                </c:pt>
                <c:pt idx="40">
                  <c:v>53506</c:v>
                </c:pt>
                <c:pt idx="41">
                  <c:v>47457</c:v>
                </c:pt>
                <c:pt idx="42">
                  <c:v>48234</c:v>
                </c:pt>
                <c:pt idx="43">
                  <c:v>50011</c:v>
                </c:pt>
                <c:pt idx="44">
                  <c:v>52338</c:v>
                </c:pt>
                <c:pt idx="45">
                  <c:v>54256</c:v>
                </c:pt>
                <c:pt idx="46">
                  <c:v>52482</c:v>
                </c:pt>
                <c:pt idx="47">
                  <c:v>51507</c:v>
                </c:pt>
                <c:pt idx="48">
                  <c:v>47638</c:v>
                </c:pt>
                <c:pt idx="49">
                  <c:v>47094</c:v>
                </c:pt>
                <c:pt idx="50">
                  <c:v>50414</c:v>
                </c:pt>
                <c:pt idx="51">
                  <c:v>51626</c:v>
                </c:pt>
                <c:pt idx="52">
                  <c:v>51239</c:v>
                </c:pt>
                <c:pt idx="53">
                  <c:v>53168</c:v>
                </c:pt>
                <c:pt idx="54">
                  <c:v>55829</c:v>
                </c:pt>
                <c:pt idx="55">
                  <c:v>61288</c:v>
                </c:pt>
                <c:pt idx="56">
                  <c:v>54115</c:v>
                </c:pt>
                <c:pt idx="57">
                  <c:v>54628</c:v>
                </c:pt>
                <c:pt idx="58">
                  <c:v>54724</c:v>
                </c:pt>
                <c:pt idx="59">
                  <c:v>50007</c:v>
                </c:pt>
                <c:pt idx="60">
                  <c:v>46907</c:v>
                </c:pt>
                <c:pt idx="61">
                  <c:v>51583</c:v>
                </c:pt>
                <c:pt idx="62">
                  <c:v>51150</c:v>
                </c:pt>
                <c:pt idx="63">
                  <c:v>56229</c:v>
                </c:pt>
                <c:pt idx="64">
                  <c:v>52760</c:v>
                </c:pt>
                <c:pt idx="65">
                  <c:v>53080</c:v>
                </c:pt>
                <c:pt idx="66">
                  <c:v>50864</c:v>
                </c:pt>
                <c:pt idx="67">
                  <c:v>46625</c:v>
                </c:pt>
                <c:pt idx="68">
                  <c:v>45059</c:v>
                </c:pt>
                <c:pt idx="69">
                  <c:v>45868</c:v>
                </c:pt>
                <c:pt idx="70">
                  <c:v>45120</c:v>
                </c:pt>
                <c:pt idx="71">
                  <c:v>43349</c:v>
                </c:pt>
                <c:pt idx="72">
                  <c:v>40405</c:v>
                </c:pt>
                <c:pt idx="73">
                  <c:v>42793</c:v>
                </c:pt>
                <c:pt idx="74">
                  <c:v>50055</c:v>
                </c:pt>
                <c:pt idx="75">
                  <c:v>53910</c:v>
                </c:pt>
                <c:pt idx="76">
                  <c:v>48471</c:v>
                </c:pt>
                <c:pt idx="77">
                  <c:v>51526</c:v>
                </c:pt>
                <c:pt idx="78">
                  <c:v>57308</c:v>
                </c:pt>
                <c:pt idx="79">
                  <c:v>57901</c:v>
                </c:pt>
                <c:pt idx="80">
                  <c:v>58367</c:v>
                </c:pt>
                <c:pt idx="81">
                  <c:v>64924</c:v>
                </c:pt>
                <c:pt idx="82">
                  <c:v>61906</c:v>
                </c:pt>
                <c:pt idx="83">
                  <c:v>60227</c:v>
                </c:pt>
                <c:pt idx="84">
                  <c:v>64670</c:v>
                </c:pt>
                <c:pt idx="85">
                  <c:v>66662</c:v>
                </c:pt>
                <c:pt idx="86">
                  <c:v>64984</c:v>
                </c:pt>
                <c:pt idx="87">
                  <c:v>65403</c:v>
                </c:pt>
                <c:pt idx="88">
                  <c:v>62711</c:v>
                </c:pt>
                <c:pt idx="89">
                  <c:v>62899</c:v>
                </c:pt>
                <c:pt idx="90">
                  <c:v>65920</c:v>
                </c:pt>
                <c:pt idx="91">
                  <c:v>70835.05</c:v>
                </c:pt>
                <c:pt idx="92">
                  <c:v>74293.509999999995</c:v>
                </c:pt>
                <c:pt idx="93">
                  <c:v>74308.490000000005</c:v>
                </c:pt>
                <c:pt idx="94">
                  <c:v>71970.990000000005</c:v>
                </c:pt>
                <c:pt idx="95">
                  <c:v>76402.080000000002</c:v>
                </c:pt>
                <c:pt idx="96">
                  <c:v>84912.7</c:v>
                </c:pt>
                <c:pt idx="97">
                  <c:v>85353.600000000006</c:v>
                </c:pt>
                <c:pt idx="98">
                  <c:v>85365.56</c:v>
                </c:pt>
                <c:pt idx="99">
                  <c:v>86115.5</c:v>
                </c:pt>
                <c:pt idx="100">
                  <c:v>76753.61</c:v>
                </c:pt>
                <c:pt idx="101">
                  <c:v>72762.52</c:v>
                </c:pt>
                <c:pt idx="102">
                  <c:v>79220.44</c:v>
                </c:pt>
                <c:pt idx="103">
                  <c:v>76677.53</c:v>
                </c:pt>
                <c:pt idx="104">
                  <c:v>79342.429999999993</c:v>
                </c:pt>
                <c:pt idx="105">
                  <c:v>87423.55</c:v>
                </c:pt>
                <c:pt idx="106">
                  <c:v>89504.03</c:v>
                </c:pt>
                <c:pt idx="107">
                  <c:v>87887.27</c:v>
                </c:pt>
                <c:pt idx="108">
                  <c:v>97393.75</c:v>
                </c:pt>
                <c:pt idx="109">
                  <c:v>95584.35</c:v>
                </c:pt>
                <c:pt idx="110">
                  <c:v>95414.56</c:v>
                </c:pt>
                <c:pt idx="111">
                  <c:v>96353.33</c:v>
                </c:pt>
                <c:pt idx="112">
                  <c:v>97030.32</c:v>
                </c:pt>
                <c:pt idx="113">
                  <c:v>100967.2</c:v>
                </c:pt>
                <c:pt idx="114">
                  <c:v>101812.13</c:v>
                </c:pt>
                <c:pt idx="115">
                  <c:v>101134.61</c:v>
                </c:pt>
                <c:pt idx="116">
                  <c:v>104531.93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Dólar</c:v>
          </c:tx>
          <c:marker>
            <c:symbol val="none"/>
          </c:marker>
          <c:xVal>
            <c:numRef>
              <c:f>Correlação!$D$2:$D$118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Correlação!$E$2:$E$118</c:f>
              <c:numCache>
                <c:formatCode>General</c:formatCode>
                <c:ptCount val="117"/>
                <c:pt idx="0">
                  <c:v>1.8748</c:v>
                </c:pt>
                <c:pt idx="1">
                  <c:v>1.8109999999999999</c:v>
                </c:pt>
                <c:pt idx="2">
                  <c:v>1.7809999999999999</c:v>
                </c:pt>
                <c:pt idx="3">
                  <c:v>1.7305999999999999</c:v>
                </c:pt>
                <c:pt idx="4">
                  <c:v>1.8167</c:v>
                </c:pt>
                <c:pt idx="5">
                  <c:v>1.8015000000000001</c:v>
                </c:pt>
                <c:pt idx="6">
                  <c:v>1.7572000000000001</c:v>
                </c:pt>
                <c:pt idx="7">
                  <c:v>1.756</c:v>
                </c:pt>
                <c:pt idx="8">
                  <c:v>1.6941999999999999</c:v>
                </c:pt>
                <c:pt idx="9">
                  <c:v>1.7014</c:v>
                </c:pt>
                <c:pt idx="10">
                  <c:v>1.7161</c:v>
                </c:pt>
                <c:pt idx="11">
                  <c:v>1.6661999999999999</c:v>
                </c:pt>
                <c:pt idx="12">
                  <c:v>1.6734</c:v>
                </c:pt>
                <c:pt idx="13">
                  <c:v>1.6612</c:v>
                </c:pt>
                <c:pt idx="14">
                  <c:v>1.6287</c:v>
                </c:pt>
                <c:pt idx="15">
                  <c:v>1.5732999999999999</c:v>
                </c:pt>
                <c:pt idx="16">
                  <c:v>1.5799000000000001</c:v>
                </c:pt>
                <c:pt idx="17">
                  <c:v>1.5610999999999999</c:v>
                </c:pt>
                <c:pt idx="18">
                  <c:v>1.5563</c:v>
                </c:pt>
                <c:pt idx="19">
                  <c:v>1.5871999999999999</c:v>
                </c:pt>
                <c:pt idx="20">
                  <c:v>1.8544</c:v>
                </c:pt>
                <c:pt idx="21">
                  <c:v>1.6884999999999999</c:v>
                </c:pt>
                <c:pt idx="22">
                  <c:v>1.8109</c:v>
                </c:pt>
                <c:pt idx="23">
                  <c:v>1.8757999999999999</c:v>
                </c:pt>
                <c:pt idx="24">
                  <c:v>1.7391000000000001</c:v>
                </c:pt>
                <c:pt idx="25">
                  <c:v>1.7092000000000001</c:v>
                </c:pt>
                <c:pt idx="26">
                  <c:v>1.8221000000000001</c:v>
                </c:pt>
                <c:pt idx="27">
                  <c:v>1.8917999999999999</c:v>
                </c:pt>
                <c:pt idx="28">
                  <c:v>2.0223</c:v>
                </c:pt>
                <c:pt idx="29">
                  <c:v>2.0213000000000001</c:v>
                </c:pt>
                <c:pt idx="30">
                  <c:v>2.0499000000000001</c:v>
                </c:pt>
                <c:pt idx="31">
                  <c:v>2.0371999999999999</c:v>
                </c:pt>
                <c:pt idx="32">
                  <c:v>2.0306000000000002</c:v>
                </c:pt>
                <c:pt idx="33">
                  <c:v>2.0312999999999999</c:v>
                </c:pt>
                <c:pt idx="34">
                  <c:v>2.1074000000000002</c:v>
                </c:pt>
                <c:pt idx="35">
                  <c:v>2.0434999999999999</c:v>
                </c:pt>
                <c:pt idx="36">
                  <c:v>1.9883</c:v>
                </c:pt>
                <c:pt idx="37">
                  <c:v>1.9754</c:v>
                </c:pt>
                <c:pt idx="38">
                  <c:v>2.0137999999999998</c:v>
                </c:pt>
                <c:pt idx="39">
                  <c:v>2.0017</c:v>
                </c:pt>
                <c:pt idx="40">
                  <c:v>2.1318999999999999</c:v>
                </c:pt>
                <c:pt idx="41">
                  <c:v>2.2155999999999998</c:v>
                </c:pt>
                <c:pt idx="42">
                  <c:v>2.2902999999999998</c:v>
                </c:pt>
                <c:pt idx="43">
                  <c:v>2.3725000000000001</c:v>
                </c:pt>
                <c:pt idx="44">
                  <c:v>2.23</c:v>
                </c:pt>
                <c:pt idx="45">
                  <c:v>2.2025999999999999</c:v>
                </c:pt>
                <c:pt idx="46">
                  <c:v>2.3249</c:v>
                </c:pt>
                <c:pt idx="47">
                  <c:v>2.3426</c:v>
                </c:pt>
                <c:pt idx="48">
                  <c:v>2.4262999999999999</c:v>
                </c:pt>
                <c:pt idx="49">
                  <c:v>2.3334000000000001</c:v>
                </c:pt>
                <c:pt idx="50">
                  <c:v>2.2629999999999999</c:v>
                </c:pt>
                <c:pt idx="51">
                  <c:v>2.2360000000000002</c:v>
                </c:pt>
                <c:pt idx="52">
                  <c:v>2.2389999999999999</c:v>
                </c:pt>
                <c:pt idx="53">
                  <c:v>2.2025000000000001</c:v>
                </c:pt>
                <c:pt idx="54">
                  <c:v>2.2673999999999999</c:v>
                </c:pt>
                <c:pt idx="55">
                  <c:v>2.2395999999999998</c:v>
                </c:pt>
                <c:pt idx="56">
                  <c:v>2.4510000000000001</c:v>
                </c:pt>
                <c:pt idx="57">
                  <c:v>2.4441999999999999</c:v>
                </c:pt>
                <c:pt idx="58">
                  <c:v>2.5600999999999998</c:v>
                </c:pt>
                <c:pt idx="59">
                  <c:v>2.6562000000000001</c:v>
                </c:pt>
                <c:pt idx="60">
                  <c:v>2.6623000000000001</c:v>
                </c:pt>
                <c:pt idx="61">
                  <c:v>2.8782000000000001</c:v>
                </c:pt>
                <c:pt idx="62">
                  <c:v>3.2080000000000002</c:v>
                </c:pt>
                <c:pt idx="63">
                  <c:v>2.9935999999999998</c:v>
                </c:pt>
                <c:pt idx="64">
                  <c:v>3.1787999999999998</c:v>
                </c:pt>
                <c:pt idx="65">
                  <c:v>3.1025999999999998</c:v>
                </c:pt>
                <c:pt idx="66">
                  <c:v>3.3940000000000001</c:v>
                </c:pt>
                <c:pt idx="67">
                  <c:v>3.6467000000000001</c:v>
                </c:pt>
                <c:pt idx="68">
                  <c:v>3.9729000000000001</c:v>
                </c:pt>
                <c:pt idx="69">
                  <c:v>3.8589000000000002</c:v>
                </c:pt>
                <c:pt idx="70">
                  <c:v>3.8506</c:v>
                </c:pt>
                <c:pt idx="71">
                  <c:v>3.9047999999999998</c:v>
                </c:pt>
                <c:pt idx="72">
                  <c:v>4.0427999999999997</c:v>
                </c:pt>
                <c:pt idx="73">
                  <c:v>3.9796</c:v>
                </c:pt>
                <c:pt idx="74">
                  <c:v>3.5589</c:v>
                </c:pt>
                <c:pt idx="75">
                  <c:v>3.4508000000000001</c:v>
                </c:pt>
                <c:pt idx="76">
                  <c:v>3.5951</c:v>
                </c:pt>
                <c:pt idx="77">
                  <c:v>3.2098</c:v>
                </c:pt>
                <c:pt idx="78">
                  <c:v>3.2389999999999999</c:v>
                </c:pt>
                <c:pt idx="79">
                  <c:v>3.2403</c:v>
                </c:pt>
                <c:pt idx="80">
                  <c:v>3.2462</c:v>
                </c:pt>
                <c:pt idx="81">
                  <c:v>3.1810999999999998</c:v>
                </c:pt>
                <c:pt idx="82">
                  <c:v>3.3967000000000001</c:v>
                </c:pt>
                <c:pt idx="83">
                  <c:v>3.2591000000000001</c:v>
                </c:pt>
                <c:pt idx="84">
                  <c:v>3.1269999999999998</c:v>
                </c:pt>
                <c:pt idx="85">
                  <c:v>3.0992999999999999</c:v>
                </c:pt>
                <c:pt idx="86">
                  <c:v>3.1684000000000001</c:v>
                </c:pt>
                <c:pt idx="87">
                  <c:v>3.1983999999999999</c:v>
                </c:pt>
                <c:pt idx="88">
                  <c:v>3.2437</c:v>
                </c:pt>
                <c:pt idx="89">
                  <c:v>3.3081999999999998</c:v>
                </c:pt>
                <c:pt idx="90">
                  <c:v>3.1307</c:v>
                </c:pt>
                <c:pt idx="91">
                  <c:v>3.1471</c:v>
                </c:pt>
                <c:pt idx="92">
                  <c:v>3.1680000000000001</c:v>
                </c:pt>
                <c:pt idx="93">
                  <c:v>3.2768999999999999</c:v>
                </c:pt>
                <c:pt idx="94">
                  <c:v>3.2616000000000001</c:v>
                </c:pt>
                <c:pt idx="95">
                  <c:v>3.3079999999999998</c:v>
                </c:pt>
                <c:pt idx="96">
                  <c:v>3.1623999999999999</c:v>
                </c:pt>
                <c:pt idx="97">
                  <c:v>3.2448999999999999</c:v>
                </c:pt>
                <c:pt idx="98">
                  <c:v>3.3237999999999999</c:v>
                </c:pt>
                <c:pt idx="99">
                  <c:v>3.4811000000000001</c:v>
                </c:pt>
                <c:pt idx="100">
                  <c:v>3.7370000000000001</c:v>
                </c:pt>
                <c:pt idx="101">
                  <c:v>3.8557999999999999</c:v>
                </c:pt>
                <c:pt idx="102">
                  <c:v>3.7549000000000001</c:v>
                </c:pt>
                <c:pt idx="103">
                  <c:v>4.1353</c:v>
                </c:pt>
                <c:pt idx="104">
                  <c:v>4.0038999999999998</c:v>
                </c:pt>
                <c:pt idx="105">
                  <c:v>3.7176999999999998</c:v>
                </c:pt>
                <c:pt idx="106">
                  <c:v>3.8633000000000002</c:v>
                </c:pt>
                <c:pt idx="107">
                  <c:v>3.8748</c:v>
                </c:pt>
                <c:pt idx="108">
                  <c:v>3.6518999999999999</c:v>
                </c:pt>
                <c:pt idx="109">
                  <c:v>3.7385000000000002</c:v>
                </c:pt>
                <c:pt idx="110">
                  <c:v>3.8967000000000001</c:v>
                </c:pt>
                <c:pt idx="111">
                  <c:v>3.9453</c:v>
                </c:pt>
                <c:pt idx="112">
                  <c:v>3.9407000000000001</c:v>
                </c:pt>
                <c:pt idx="113">
                  <c:v>3.8321999999999998</c:v>
                </c:pt>
                <c:pt idx="114">
                  <c:v>3.7648999999999999</c:v>
                </c:pt>
                <c:pt idx="115">
                  <c:v>4.1384999999999996</c:v>
                </c:pt>
                <c:pt idx="116">
                  <c:v>4.0972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PETR4 X</a:t>
            </a:r>
            <a:r>
              <a:rPr lang="en-US" baseline="0"/>
              <a:t> VALE3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VALE3</c:v>
          </c:tx>
          <c:marker>
            <c:symbol val="none"/>
          </c:marker>
          <c:xVal>
            <c:numRef>
              <c:f>Correlação!$J$2:$J$118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Correlação!$K$2:$K$118</c:f>
              <c:numCache>
                <c:formatCode>General</c:formatCode>
                <c:ptCount val="117"/>
                <c:pt idx="0">
                  <c:v>32.93316136</c:v>
                </c:pt>
                <c:pt idx="1">
                  <c:v>33.970108171</c:v>
                </c:pt>
                <c:pt idx="2">
                  <c:v>38.481500138000001</c:v>
                </c:pt>
                <c:pt idx="3">
                  <c:v>36.008152516000003</c:v>
                </c:pt>
                <c:pt idx="4">
                  <c:v>33.905981652999998</c:v>
                </c:pt>
                <c:pt idx="5">
                  <c:v>29.599921983000002</c:v>
                </c:pt>
                <c:pt idx="6">
                  <c:v>32.922708184999998</c:v>
                </c:pt>
                <c:pt idx="7">
                  <c:v>31.790248397999999</c:v>
                </c:pt>
                <c:pt idx="8">
                  <c:v>35.465656809000002</c:v>
                </c:pt>
                <c:pt idx="9">
                  <c:v>36.726540513000003</c:v>
                </c:pt>
                <c:pt idx="10">
                  <c:v>36.699132646999999</c:v>
                </c:pt>
                <c:pt idx="11">
                  <c:v>37.911930720000001</c:v>
                </c:pt>
                <c:pt idx="12">
                  <c:v>39.320907771999998</c:v>
                </c:pt>
                <c:pt idx="13">
                  <c:v>38.783586327000002</c:v>
                </c:pt>
                <c:pt idx="14">
                  <c:v>36.751409068000001</c:v>
                </c:pt>
                <c:pt idx="15">
                  <c:v>36.105271641000002</c:v>
                </c:pt>
                <c:pt idx="16">
                  <c:v>35.031664413000001</c:v>
                </c:pt>
                <c:pt idx="17">
                  <c:v>34.501832274999998</c:v>
                </c:pt>
                <c:pt idx="18">
                  <c:v>34.982864085000003</c:v>
                </c:pt>
                <c:pt idx="19">
                  <c:v>31.913869465000001</c:v>
                </c:pt>
                <c:pt idx="20">
                  <c:v>30.382288676000002</c:v>
                </c:pt>
                <c:pt idx="21">
                  <c:v>31.878717930000001</c:v>
                </c:pt>
                <c:pt idx="22">
                  <c:v>30.376312098</c:v>
                </c:pt>
                <c:pt idx="23">
                  <c:v>28.771801014000001</c:v>
                </c:pt>
                <c:pt idx="24">
                  <c:v>32.600747917</c:v>
                </c:pt>
                <c:pt idx="25">
                  <c:v>31.762026214999999</c:v>
                </c:pt>
                <c:pt idx="26">
                  <c:v>31.287966122</c:v>
                </c:pt>
                <c:pt idx="27">
                  <c:v>31.851103968</c:v>
                </c:pt>
                <c:pt idx="28">
                  <c:v>28.105234699</c:v>
                </c:pt>
                <c:pt idx="29">
                  <c:v>30.004338081</c:v>
                </c:pt>
                <c:pt idx="30">
                  <c:v>27.776256159999999</c:v>
                </c:pt>
                <c:pt idx="31">
                  <c:v>25.256579626000001</c:v>
                </c:pt>
                <c:pt idx="32">
                  <c:v>27.282788352000001</c:v>
                </c:pt>
                <c:pt idx="33">
                  <c:v>28.900348210000001</c:v>
                </c:pt>
                <c:pt idx="34">
                  <c:v>29.016103944000001</c:v>
                </c:pt>
                <c:pt idx="35">
                  <c:v>32.627682839000002</c:v>
                </c:pt>
                <c:pt idx="36">
                  <c:v>31.068838957000001</c:v>
                </c:pt>
                <c:pt idx="37">
                  <c:v>29.170444922000001</c:v>
                </c:pt>
                <c:pt idx="38">
                  <c:v>26.932500735000001</c:v>
                </c:pt>
                <c:pt idx="39">
                  <c:v>27.137149474000001</c:v>
                </c:pt>
                <c:pt idx="40">
                  <c:v>24.126312452000001</c:v>
                </c:pt>
                <c:pt idx="41">
                  <c:v>23.056672983999999</c:v>
                </c:pt>
                <c:pt idx="42">
                  <c:v>24.577938006</c:v>
                </c:pt>
                <c:pt idx="43">
                  <c:v>27.271844815000001</c:v>
                </c:pt>
                <c:pt idx="44">
                  <c:v>27.303537836</c:v>
                </c:pt>
                <c:pt idx="45">
                  <c:v>29.091739829000002</c:v>
                </c:pt>
                <c:pt idx="46">
                  <c:v>29.189390423999999</c:v>
                </c:pt>
                <c:pt idx="47">
                  <c:v>29.059189630999999</c:v>
                </c:pt>
                <c:pt idx="48">
                  <c:v>26.894601435999999</c:v>
                </c:pt>
                <c:pt idx="49">
                  <c:v>26.853913687999999</c:v>
                </c:pt>
                <c:pt idx="50">
                  <c:v>25.568180851000001</c:v>
                </c:pt>
                <c:pt idx="51">
                  <c:v>24.596637204</c:v>
                </c:pt>
                <c:pt idx="52">
                  <c:v>23.760016890999999</c:v>
                </c:pt>
                <c:pt idx="53">
                  <c:v>24.462777954</c:v>
                </c:pt>
                <c:pt idx="54">
                  <c:v>27.231991189999999</c:v>
                </c:pt>
                <c:pt idx="55">
                  <c:v>24.362383516000001</c:v>
                </c:pt>
                <c:pt idx="56">
                  <c:v>22.463255405999998</c:v>
                </c:pt>
                <c:pt idx="57">
                  <c:v>21.700857637999999</c:v>
                </c:pt>
                <c:pt idx="58">
                  <c:v>20.225199318000001</c:v>
                </c:pt>
                <c:pt idx="59">
                  <c:v>19.018631633999998</c:v>
                </c:pt>
                <c:pt idx="60">
                  <c:v>16.154118425</c:v>
                </c:pt>
                <c:pt idx="61">
                  <c:v>18.445728991999999</c:v>
                </c:pt>
                <c:pt idx="62">
                  <c:v>15.572535439999999</c:v>
                </c:pt>
                <c:pt idx="63">
                  <c:v>20.312897518</c:v>
                </c:pt>
                <c:pt idx="64">
                  <c:v>17.981174182</c:v>
                </c:pt>
                <c:pt idx="65">
                  <c:v>16.402776847999998</c:v>
                </c:pt>
                <c:pt idx="66">
                  <c:v>16.026113847000001</c:v>
                </c:pt>
                <c:pt idx="67">
                  <c:v>16.070954681</c:v>
                </c:pt>
                <c:pt idx="68">
                  <c:v>14.869220346000001</c:v>
                </c:pt>
                <c:pt idx="69">
                  <c:v>15.607069787</c:v>
                </c:pt>
                <c:pt idx="70">
                  <c:v>12.048365129</c:v>
                </c:pt>
                <c:pt idx="71">
                  <c:v>11.920288354</c:v>
                </c:pt>
                <c:pt idx="72">
                  <c:v>8.8921874758000001</c:v>
                </c:pt>
                <c:pt idx="73">
                  <c:v>10.804190749</c:v>
                </c:pt>
                <c:pt idx="74">
                  <c:v>13.859736652</c:v>
                </c:pt>
                <c:pt idx="75">
                  <c:v>18.013083476999999</c:v>
                </c:pt>
                <c:pt idx="76">
                  <c:v>13.008940936</c:v>
                </c:pt>
                <c:pt idx="77">
                  <c:v>14.884350846</c:v>
                </c:pt>
                <c:pt idx="78">
                  <c:v>16.924430895</c:v>
                </c:pt>
                <c:pt idx="79">
                  <c:v>15.497289694999999</c:v>
                </c:pt>
                <c:pt idx="80">
                  <c:v>16.293195364999999</c:v>
                </c:pt>
                <c:pt idx="81">
                  <c:v>20.199536982000001</c:v>
                </c:pt>
                <c:pt idx="82">
                  <c:v>25.670244915000001</c:v>
                </c:pt>
                <c:pt idx="83">
                  <c:v>23.630968792000001</c:v>
                </c:pt>
                <c:pt idx="84">
                  <c:v>29.612327715999999</c:v>
                </c:pt>
                <c:pt idx="85">
                  <c:v>30.109240611000001</c:v>
                </c:pt>
                <c:pt idx="86">
                  <c:v>27.413028050000001</c:v>
                </c:pt>
                <c:pt idx="87">
                  <c:v>26.121453122999998</c:v>
                </c:pt>
                <c:pt idx="88">
                  <c:v>25.83618061</c:v>
                </c:pt>
                <c:pt idx="89">
                  <c:v>27.57634294</c:v>
                </c:pt>
                <c:pt idx="90">
                  <c:v>29.763432208000001</c:v>
                </c:pt>
                <c:pt idx="91">
                  <c:v>33.357865873999998</c:v>
                </c:pt>
                <c:pt idx="92">
                  <c:v>30.305449982999999</c:v>
                </c:pt>
                <c:pt idx="93">
                  <c:v>30.524158910000001</c:v>
                </c:pt>
                <c:pt idx="94">
                  <c:v>33.414920377000001</c:v>
                </c:pt>
                <c:pt idx="95">
                  <c:v>38.692518428</c:v>
                </c:pt>
                <c:pt idx="96">
                  <c:v>39.836187006000003</c:v>
                </c:pt>
                <c:pt idx="97">
                  <c:v>43.296024719000002</c:v>
                </c:pt>
                <c:pt idx="98">
                  <c:v>41.027447752</c:v>
                </c:pt>
                <c:pt idx="99">
                  <c:v>47.306464867999999</c:v>
                </c:pt>
                <c:pt idx="100">
                  <c:v>49.211553653000003</c:v>
                </c:pt>
                <c:pt idx="101">
                  <c:v>48.200690215999998</c:v>
                </c:pt>
                <c:pt idx="102">
                  <c:v>53.303606602999999</c:v>
                </c:pt>
                <c:pt idx="103">
                  <c:v>53.62</c:v>
                </c:pt>
                <c:pt idx="104">
                  <c:v>59.82</c:v>
                </c:pt>
                <c:pt idx="105">
                  <c:v>56.71</c:v>
                </c:pt>
                <c:pt idx="106">
                  <c:v>52.8</c:v>
                </c:pt>
                <c:pt idx="107">
                  <c:v>51</c:v>
                </c:pt>
                <c:pt idx="108">
                  <c:v>45.5</c:v>
                </c:pt>
                <c:pt idx="109">
                  <c:v>47.1</c:v>
                </c:pt>
                <c:pt idx="110">
                  <c:v>50.93</c:v>
                </c:pt>
                <c:pt idx="111">
                  <c:v>50.1</c:v>
                </c:pt>
                <c:pt idx="112">
                  <c:v>49</c:v>
                </c:pt>
                <c:pt idx="113">
                  <c:v>51.82</c:v>
                </c:pt>
                <c:pt idx="114">
                  <c:v>49.81</c:v>
                </c:pt>
                <c:pt idx="115">
                  <c:v>45.57</c:v>
                </c:pt>
                <c:pt idx="116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PETR4</c:v>
          </c:tx>
          <c:marker>
            <c:symbol val="none"/>
          </c:marker>
          <c:xVal>
            <c:numRef>
              <c:f>Correlação!$G$2:$G$118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Correlação!$H$2:$H$118</c:f>
              <c:numCache>
                <c:formatCode>General</c:formatCode>
                <c:ptCount val="117"/>
                <c:pt idx="0">
                  <c:v>26.594684306000001</c:v>
                </c:pt>
                <c:pt idx="1">
                  <c:v>26.937138537999999</c:v>
                </c:pt>
                <c:pt idx="2">
                  <c:v>27.544216494</c:v>
                </c:pt>
                <c:pt idx="3">
                  <c:v>25.720818743999999</c:v>
                </c:pt>
                <c:pt idx="4">
                  <c:v>23.381021126</c:v>
                </c:pt>
                <c:pt idx="5">
                  <c:v>21.216696873</c:v>
                </c:pt>
                <c:pt idx="6">
                  <c:v>21.998697240999999</c:v>
                </c:pt>
                <c:pt idx="7">
                  <c:v>20.733672697999999</c:v>
                </c:pt>
                <c:pt idx="8">
                  <c:v>21.712276589999998</c:v>
                </c:pt>
                <c:pt idx="9">
                  <c:v>20.566593985000001</c:v>
                </c:pt>
                <c:pt idx="10">
                  <c:v>19.668067703999998</c:v>
                </c:pt>
                <c:pt idx="11">
                  <c:v>21.998364413000001</c:v>
                </c:pt>
                <c:pt idx="12">
                  <c:v>21.837145179</c:v>
                </c:pt>
                <c:pt idx="13">
                  <c:v>23.038228469</c:v>
                </c:pt>
                <c:pt idx="14">
                  <c:v>23.107252845000001</c:v>
                </c:pt>
                <c:pt idx="15">
                  <c:v>20.850461802000002</c:v>
                </c:pt>
                <c:pt idx="16">
                  <c:v>19.785420174999999</c:v>
                </c:pt>
                <c:pt idx="17">
                  <c:v>19.481534519</c:v>
                </c:pt>
                <c:pt idx="18">
                  <c:v>19.300845750000001</c:v>
                </c:pt>
                <c:pt idx="19">
                  <c:v>17.232046234999999</c:v>
                </c:pt>
                <c:pt idx="20">
                  <c:v>15.823657839999999</c:v>
                </c:pt>
                <c:pt idx="21">
                  <c:v>17.662847391</c:v>
                </c:pt>
                <c:pt idx="22">
                  <c:v>18.43552691</c:v>
                </c:pt>
                <c:pt idx="23">
                  <c:v>17.967323052000001</c:v>
                </c:pt>
                <c:pt idx="24">
                  <c:v>20.733270507</c:v>
                </c:pt>
                <c:pt idx="25">
                  <c:v>20.513870819000001</c:v>
                </c:pt>
                <c:pt idx="26">
                  <c:v>19.802891073000001</c:v>
                </c:pt>
                <c:pt idx="27">
                  <c:v>18.055826592999999</c:v>
                </c:pt>
                <c:pt idx="28">
                  <c:v>16.391816098</c:v>
                </c:pt>
                <c:pt idx="29">
                  <c:v>15.637775419</c:v>
                </c:pt>
                <c:pt idx="30">
                  <c:v>16.708855927999998</c:v>
                </c:pt>
                <c:pt idx="31">
                  <c:v>17.779936436</c:v>
                </c:pt>
                <c:pt idx="32">
                  <c:v>19.168056775</c:v>
                </c:pt>
                <c:pt idx="33">
                  <c:v>17.822779657000002</c:v>
                </c:pt>
                <c:pt idx="34">
                  <c:v>15.989089826000001</c:v>
                </c:pt>
                <c:pt idx="35">
                  <c:v>16.725993215999999</c:v>
                </c:pt>
                <c:pt idx="36">
                  <c:v>15.49210847</c:v>
                </c:pt>
                <c:pt idx="37">
                  <c:v>14.232517793</c:v>
                </c:pt>
                <c:pt idx="38">
                  <c:v>15.72346186</c:v>
                </c:pt>
                <c:pt idx="39">
                  <c:v>17.897848693</c:v>
                </c:pt>
                <c:pt idx="40">
                  <c:v>17.862213354000001</c:v>
                </c:pt>
                <c:pt idx="41">
                  <c:v>14.414494367</c:v>
                </c:pt>
                <c:pt idx="42">
                  <c:v>14.512491548</c:v>
                </c:pt>
                <c:pt idx="43">
                  <c:v>14.966842112</c:v>
                </c:pt>
                <c:pt idx="44">
                  <c:v>16.356620309</c:v>
                </c:pt>
                <c:pt idx="45">
                  <c:v>18.200749069</c:v>
                </c:pt>
                <c:pt idx="46">
                  <c:v>17.033691737000002</c:v>
                </c:pt>
                <c:pt idx="47">
                  <c:v>15.21628948</c:v>
                </c:pt>
                <c:pt idx="48">
                  <c:v>13.095986848000001</c:v>
                </c:pt>
                <c:pt idx="49">
                  <c:v>12.107106207999999</c:v>
                </c:pt>
                <c:pt idx="50">
                  <c:v>14.058140984</c:v>
                </c:pt>
                <c:pt idx="51">
                  <c:v>15.701971176000001</c:v>
                </c:pt>
                <c:pt idx="52">
                  <c:v>15.815684908</c:v>
                </c:pt>
                <c:pt idx="53">
                  <c:v>16.384253568999998</c:v>
                </c:pt>
                <c:pt idx="54">
                  <c:v>18.099435696</c:v>
                </c:pt>
                <c:pt idx="55">
                  <c:v>22.126797041</c:v>
                </c:pt>
                <c:pt idx="56">
                  <c:v>17.142345117000001</c:v>
                </c:pt>
                <c:pt idx="57">
                  <c:v>14.479548555999999</c:v>
                </c:pt>
                <c:pt idx="58">
                  <c:v>12.129464758999999</c:v>
                </c:pt>
                <c:pt idx="59">
                  <c:v>9.4950966318999992</c:v>
                </c:pt>
                <c:pt idx="60">
                  <c:v>7.7514860727999997</c:v>
                </c:pt>
                <c:pt idx="61">
                  <c:v>9.0686701364999998</c:v>
                </c:pt>
                <c:pt idx="62">
                  <c:v>9.2202884459999996</c:v>
                </c:pt>
                <c:pt idx="63">
                  <c:v>12.366368367</c:v>
                </c:pt>
                <c:pt idx="64">
                  <c:v>11.684085975</c:v>
                </c:pt>
                <c:pt idx="65">
                  <c:v>12.044179460000001</c:v>
                </c:pt>
                <c:pt idx="66">
                  <c:v>9.9499515604000006</c:v>
                </c:pt>
                <c:pt idx="67">
                  <c:v>8.7085766513999996</c:v>
                </c:pt>
                <c:pt idx="68">
                  <c:v>6.8607285044999999</c:v>
                </c:pt>
                <c:pt idx="69">
                  <c:v>7.3061072885999998</c:v>
                </c:pt>
                <c:pt idx="70">
                  <c:v>7.2682027112999998</c:v>
                </c:pt>
                <c:pt idx="71">
                  <c:v>6.3490167099999999</c:v>
                </c:pt>
                <c:pt idx="72">
                  <c:v>4.5864538620999999</c:v>
                </c:pt>
                <c:pt idx="73">
                  <c:v>4.8707381924000002</c:v>
                </c:pt>
                <c:pt idx="74">
                  <c:v>7.9125805266000002</c:v>
                </c:pt>
                <c:pt idx="75">
                  <c:v>9.6940956631000006</c:v>
                </c:pt>
                <c:pt idx="76">
                  <c:v>7.6188200519000002</c:v>
                </c:pt>
                <c:pt idx="77">
                  <c:v>8.9265279713000005</c:v>
                </c:pt>
                <c:pt idx="78">
                  <c:v>11.248183335</c:v>
                </c:pt>
                <c:pt idx="79">
                  <c:v>12.176845481000001</c:v>
                </c:pt>
                <c:pt idx="80">
                  <c:v>12.859127873</c:v>
                </c:pt>
                <c:pt idx="81">
                  <c:v>16.763299343</c:v>
                </c:pt>
                <c:pt idx="82">
                  <c:v>15.161830949000001</c:v>
                </c:pt>
                <c:pt idx="83">
                  <c:v>14.091026638000001</c:v>
                </c:pt>
                <c:pt idx="84">
                  <c:v>14.233168803</c:v>
                </c:pt>
                <c:pt idx="85">
                  <c:v>14.384787113</c:v>
                </c:pt>
                <c:pt idx="86">
                  <c:v>13.730933153000001</c:v>
                </c:pt>
                <c:pt idx="87">
                  <c:v>13.238173647</c:v>
                </c:pt>
                <c:pt idx="88">
                  <c:v>12.281083067999999</c:v>
                </c:pt>
                <c:pt idx="89">
                  <c:v>11.721990551999999</c:v>
                </c:pt>
                <c:pt idx="90">
                  <c:v>12.593795832</c:v>
                </c:pt>
                <c:pt idx="91">
                  <c:v>12.934937028</c:v>
                </c:pt>
                <c:pt idx="92">
                  <c:v>14.498500845000001</c:v>
                </c:pt>
                <c:pt idx="93">
                  <c:v>15.891494063</c:v>
                </c:pt>
                <c:pt idx="94">
                  <c:v>14.574309999</c:v>
                </c:pt>
                <c:pt idx="95">
                  <c:v>15.256592392</c:v>
                </c:pt>
                <c:pt idx="96">
                  <c:v>18.668004356000001</c:v>
                </c:pt>
                <c:pt idx="97">
                  <c:v>20.335805761</c:v>
                </c:pt>
                <c:pt idx="98">
                  <c:v>20.288425039</c:v>
                </c:pt>
                <c:pt idx="99">
                  <c:v>21.766703556</c:v>
                </c:pt>
                <c:pt idx="100">
                  <c:v>18.021693407000001</c:v>
                </c:pt>
                <c:pt idx="101">
                  <c:v>16.32207111</c:v>
                </c:pt>
                <c:pt idx="102">
                  <c:v>18.724330557999998</c:v>
                </c:pt>
                <c:pt idx="103">
                  <c:v>18.333297873999999</c:v>
                </c:pt>
                <c:pt idx="104">
                  <c:v>20.075246738000001</c:v>
                </c:pt>
                <c:pt idx="105">
                  <c:v>26.291053338000001</c:v>
                </c:pt>
                <c:pt idx="106">
                  <c:v>24.331651804</c:v>
                </c:pt>
                <c:pt idx="107">
                  <c:v>22.402550191</c:v>
                </c:pt>
                <c:pt idx="108">
                  <c:v>25.267073804999999</c:v>
                </c:pt>
                <c:pt idx="109">
                  <c:v>26.728968613999999</c:v>
                </c:pt>
                <c:pt idx="110">
                  <c:v>27.716735377999999</c:v>
                </c:pt>
                <c:pt idx="111">
                  <c:v>26.797073455</c:v>
                </c:pt>
                <c:pt idx="112">
                  <c:v>25.350779726999999</c:v>
                </c:pt>
                <c:pt idx="113">
                  <c:v>27.196276803</c:v>
                </c:pt>
                <c:pt idx="114">
                  <c:v>25.876647172999999</c:v>
                </c:pt>
                <c:pt idx="115">
                  <c:v>25.5</c:v>
                </c:pt>
                <c:pt idx="116">
                  <c:v>27.22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119414</xdr:rowOff>
    </xdr:from>
    <xdr:to>
      <xdr:col>11</xdr:col>
      <xdr:colOff>360</xdr:colOff>
      <xdr:row>1</xdr:row>
      <xdr:rowOff>119774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14:cNvPr>
            <xdr14:cNvContentPartPr/>
          </xdr14:nvContentPartPr>
          <xdr14:nvPr macro=""/>
          <xdr14:xfrm>
            <a:off x="18462600" y="321120"/>
            <a:ext cx="360" cy="360"/>
          </xdr14:xfrm>
        </xdr:contentPart>
      </mc:Choice>
      <mc:Fallback xmlns="">
        <xdr:pic>
          <xdr:nvPicPr>
            <xdr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8453600" y="31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317500</xdr:colOff>
      <xdr:row>2</xdr:row>
      <xdr:rowOff>165100</xdr:rowOff>
    </xdr:from>
    <xdr:to>
      <xdr:col>22</xdr:col>
      <xdr:colOff>330200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EFAE6-0211-A84E-97B0-D12068857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368300</xdr:colOff>
      <xdr:row>25</xdr:row>
      <xdr:rowOff>127000</xdr:rowOff>
    </xdr:from>
    <xdr:to>
      <xdr:col>22</xdr:col>
      <xdr:colOff>381000</xdr:colOff>
      <xdr:row>47</xdr:row>
      <xdr:rowOff>88900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7A3F7CD-365C-B24D-AC76-0D50F8D90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8T23:44:07.144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8DE4-A319-D04E-9EB0-9BADC82E2882}">
  <dimension ref="A1:D5"/>
  <sheetViews>
    <sheetView tabSelected="1" zoomScaleNormal="100" workbookViewId="0">
      <selection activeCell="D9" sqref="D9"/>
    </sheetView>
  </sheetViews>
  <sheetFormatPr baseColWidth="10" defaultRowHeight="16" x14ac:dyDescent="0.2"/>
  <cols>
    <col min="1" max="1" width="13.5" bestFit="1" customWidth="1"/>
    <col min="3" max="3" width="11.5" bestFit="1" customWidth="1"/>
    <col min="4" max="4" width="12.1640625" bestFit="1" customWidth="1"/>
    <col min="7" max="7" width="13.5" bestFit="1" customWidth="1"/>
  </cols>
  <sheetData>
    <row r="1" spans="1:4" x14ac:dyDescent="0.2">
      <c r="A1" s="1" t="s">
        <v>12</v>
      </c>
      <c r="B1" t="s">
        <v>13</v>
      </c>
      <c r="C1" t="s">
        <v>14</v>
      </c>
      <c r="D1" t="s">
        <v>15</v>
      </c>
    </row>
    <row r="2" spans="1:4" x14ac:dyDescent="0.2">
      <c r="A2" s="20">
        <v>45658</v>
      </c>
      <c r="B2" s="2">
        <v>36.770000000000003</v>
      </c>
      <c r="C2" s="21">
        <v>120125.39</v>
      </c>
      <c r="D2" s="2">
        <v>2241.9</v>
      </c>
    </row>
    <row r="3" spans="1:4" x14ac:dyDescent="0.2">
      <c r="A3" s="20">
        <v>45689</v>
      </c>
      <c r="B3" s="2">
        <v>37.5</v>
      </c>
      <c r="C3" s="21">
        <v>125970.46</v>
      </c>
      <c r="D3" s="2">
        <v>2565.86</v>
      </c>
    </row>
    <row r="4" spans="1:4" x14ac:dyDescent="0.2">
      <c r="A4" s="20">
        <v>45717</v>
      </c>
      <c r="B4" s="2">
        <v>34.619999999999997</v>
      </c>
      <c r="C4" s="21">
        <v>123046.85</v>
      </c>
      <c r="D4" s="2">
        <v>2612.63</v>
      </c>
    </row>
    <row r="5" spans="1:4" x14ac:dyDescent="0.2">
      <c r="A5" s="20">
        <v>45748</v>
      </c>
      <c r="B5" s="2">
        <v>37.299999999999997</v>
      </c>
      <c r="C5" s="21">
        <v>131147.29</v>
      </c>
      <c r="D5" s="2">
        <v>2559.2800000000002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81AE-BE85-D34E-862B-0153A5BC5C3F}">
  <dimension ref="A1:O118"/>
  <sheetViews>
    <sheetView workbookViewId="0">
      <selection activeCell="N27" sqref="N27"/>
    </sheetView>
  </sheetViews>
  <sheetFormatPr baseColWidth="10" defaultColWidth="8.83203125" defaultRowHeight="15" x14ac:dyDescent="0.2"/>
  <cols>
    <col min="1" max="16384" width="8.83203125" style="15"/>
  </cols>
  <sheetData>
    <row r="1" spans="1:15" x14ac:dyDescent="0.2">
      <c r="A1" s="15" t="s">
        <v>16</v>
      </c>
      <c r="B1" s="15" t="s">
        <v>17</v>
      </c>
      <c r="D1" s="15" t="s">
        <v>16</v>
      </c>
      <c r="E1" s="15" t="s">
        <v>18</v>
      </c>
      <c r="G1" s="15" t="s">
        <v>16</v>
      </c>
      <c r="H1" s="15" t="s">
        <v>19</v>
      </c>
      <c r="J1" s="15" t="s">
        <v>16</v>
      </c>
      <c r="K1" s="15" t="s">
        <v>20</v>
      </c>
    </row>
    <row r="2" spans="1:15" x14ac:dyDescent="0.2">
      <c r="A2" s="16">
        <v>40179</v>
      </c>
      <c r="B2" s="15">
        <v>65401</v>
      </c>
      <c r="D2" s="16">
        <v>40179</v>
      </c>
      <c r="E2" s="15">
        <v>1.8748</v>
      </c>
      <c r="G2" s="16">
        <v>40179</v>
      </c>
      <c r="H2" s="15">
        <v>26.594684306000001</v>
      </c>
      <c r="J2" s="16">
        <v>40179</v>
      </c>
      <c r="K2" s="15">
        <v>32.93316136</v>
      </c>
      <c r="O2" s="15">
        <f>CORREL(C3:C118,F3:F118)</f>
        <v>-0.62705843660404414</v>
      </c>
    </row>
    <row r="3" spans="1:15" x14ac:dyDescent="0.2">
      <c r="A3" s="16">
        <v>40210</v>
      </c>
      <c r="B3" s="15">
        <v>66503</v>
      </c>
      <c r="C3" s="15">
        <f>LN(B3/B2)</f>
        <v>1.6709510560080517E-2</v>
      </c>
      <c r="D3" s="16">
        <v>40210</v>
      </c>
      <c r="E3" s="15">
        <v>1.8109999999999999</v>
      </c>
      <c r="F3" s="15">
        <f>LN(E3/E2)</f>
        <v>-3.4622808165137665E-2</v>
      </c>
      <c r="G3" s="16">
        <v>40210</v>
      </c>
      <c r="H3" s="15">
        <v>26.937138537999999</v>
      </c>
      <c r="I3" s="15">
        <f>LN(H3/H2)</f>
        <v>1.279459153395872E-2</v>
      </c>
      <c r="J3" s="16">
        <v>40210</v>
      </c>
      <c r="K3" s="15">
        <v>33.970108171</v>
      </c>
      <c r="L3" s="15">
        <f>LN(K3/K2)</f>
        <v>3.1000872267377404E-2</v>
      </c>
    </row>
    <row r="4" spans="1:15" x14ac:dyDescent="0.2">
      <c r="A4" s="16">
        <v>40238</v>
      </c>
      <c r="B4" s="15">
        <v>70371</v>
      </c>
      <c r="C4" s="15">
        <f t="shared" ref="C4:C67" si="0">LN(B4/B3)</f>
        <v>5.6534187052383902E-2</v>
      </c>
      <c r="D4" s="16">
        <v>40238</v>
      </c>
      <c r="E4" s="15">
        <v>1.7809999999999999</v>
      </c>
      <c r="F4" s="15">
        <f t="shared" ref="F4:F67" si="1">LN(E4/E3)</f>
        <v>-1.6704174593751786E-2</v>
      </c>
      <c r="G4" s="16">
        <v>40238</v>
      </c>
      <c r="H4" s="15">
        <v>27.544216494</v>
      </c>
      <c r="I4" s="15">
        <f t="shared" ref="I4:I67" si="2">LN(H4/H3)</f>
        <v>2.2286636707517789E-2</v>
      </c>
      <c r="J4" s="16">
        <v>40238</v>
      </c>
      <c r="K4" s="15">
        <v>38.481500138000001</v>
      </c>
      <c r="L4" s="15">
        <f t="shared" ref="L4:L67" si="3">LN(K4/K3)</f>
        <v>0.12469664343576754</v>
      </c>
    </row>
    <row r="5" spans="1:15" x14ac:dyDescent="0.2">
      <c r="A5" s="16">
        <v>40269</v>
      </c>
      <c r="B5" s="15">
        <v>67529</v>
      </c>
      <c r="C5" s="15">
        <f t="shared" si="0"/>
        <v>-4.1224111234866564E-2</v>
      </c>
      <c r="D5" s="16">
        <v>40269</v>
      </c>
      <c r="E5" s="15">
        <v>1.7305999999999999</v>
      </c>
      <c r="F5" s="15">
        <f t="shared" si="1"/>
        <v>-2.8706835117023211E-2</v>
      </c>
      <c r="G5" s="16">
        <v>40269</v>
      </c>
      <c r="H5" s="15">
        <v>25.720818743999999</v>
      </c>
      <c r="I5" s="15">
        <f t="shared" si="2"/>
        <v>-6.8491854105319938E-2</v>
      </c>
      <c r="J5" s="16">
        <v>40269</v>
      </c>
      <c r="K5" s="15">
        <v>36.008152516000003</v>
      </c>
      <c r="L5" s="15">
        <f t="shared" si="3"/>
        <v>-6.643223831690577E-2</v>
      </c>
    </row>
    <row r="6" spans="1:15" x14ac:dyDescent="0.2">
      <c r="A6" s="16">
        <v>40299</v>
      </c>
      <c r="B6" s="15">
        <v>63046</v>
      </c>
      <c r="C6" s="15">
        <f t="shared" si="0"/>
        <v>-6.8692516558238118E-2</v>
      </c>
      <c r="D6" s="16">
        <v>40299</v>
      </c>
      <c r="E6" s="15">
        <v>1.8167</v>
      </c>
      <c r="F6" s="15">
        <f t="shared" si="1"/>
        <v>4.8553499272061026E-2</v>
      </c>
      <c r="G6" s="16">
        <v>40299</v>
      </c>
      <c r="H6" s="15">
        <v>23.381021126</v>
      </c>
      <c r="I6" s="15">
        <f t="shared" si="2"/>
        <v>-9.5376101550550249E-2</v>
      </c>
      <c r="J6" s="16">
        <v>40299</v>
      </c>
      <c r="K6" s="15">
        <v>33.905981652999998</v>
      </c>
      <c r="L6" s="15">
        <f t="shared" si="3"/>
        <v>-6.0153922834021753E-2</v>
      </c>
    </row>
    <row r="7" spans="1:15" x14ac:dyDescent="0.2">
      <c r="A7" s="16">
        <v>40330</v>
      </c>
      <c r="B7" s="15">
        <v>60935</v>
      </c>
      <c r="C7" s="15">
        <f t="shared" si="0"/>
        <v>-3.4056896410026044E-2</v>
      </c>
      <c r="D7" s="16">
        <v>40330</v>
      </c>
      <c r="E7" s="15">
        <v>1.8015000000000001</v>
      </c>
      <c r="F7" s="15">
        <f t="shared" si="1"/>
        <v>-8.4020172565513768E-3</v>
      </c>
      <c r="G7" s="16">
        <v>40330</v>
      </c>
      <c r="H7" s="15">
        <v>21.216696873</v>
      </c>
      <c r="I7" s="15">
        <f t="shared" si="2"/>
        <v>-9.713617024059179E-2</v>
      </c>
      <c r="J7" s="16">
        <v>40330</v>
      </c>
      <c r="K7" s="15">
        <v>29.599921983000002</v>
      </c>
      <c r="L7" s="15">
        <f t="shared" si="3"/>
        <v>-0.13581972314486582</v>
      </c>
    </row>
    <row r="8" spans="1:15" x14ac:dyDescent="0.2">
      <c r="A8" s="16">
        <v>40360</v>
      </c>
      <c r="B8" s="15">
        <v>67515</v>
      </c>
      <c r="C8" s="15">
        <f t="shared" si="0"/>
        <v>0.10254207313753995</v>
      </c>
      <c r="D8" s="16">
        <v>40360</v>
      </c>
      <c r="E8" s="15">
        <v>1.7572000000000001</v>
      </c>
      <c r="F8" s="15">
        <f t="shared" si="1"/>
        <v>-2.4898018086523411E-2</v>
      </c>
      <c r="G8" s="16">
        <v>40360</v>
      </c>
      <c r="H8" s="15">
        <v>21.998697240999999</v>
      </c>
      <c r="I8" s="15">
        <f t="shared" si="2"/>
        <v>3.6194775244709362E-2</v>
      </c>
      <c r="J8" s="16">
        <v>40360</v>
      </c>
      <c r="K8" s="15">
        <v>32.922708184999998</v>
      </c>
      <c r="L8" s="15">
        <f t="shared" si="3"/>
        <v>0.10639091245214018</v>
      </c>
    </row>
    <row r="9" spans="1:15" x14ac:dyDescent="0.2">
      <c r="A9" s="16">
        <v>40391</v>
      </c>
      <c r="B9" s="15">
        <v>65145</v>
      </c>
      <c r="C9" s="15">
        <f t="shared" si="0"/>
        <v>-3.5734240758110797E-2</v>
      </c>
      <c r="D9" s="16">
        <v>40391</v>
      </c>
      <c r="E9" s="15">
        <v>1.756</v>
      </c>
      <c r="F9" s="15">
        <f t="shared" si="1"/>
        <v>-6.8313790656256178E-4</v>
      </c>
      <c r="G9" s="16">
        <v>40391</v>
      </c>
      <c r="H9" s="15">
        <v>20.733672697999999</v>
      </c>
      <c r="I9" s="15">
        <f t="shared" si="2"/>
        <v>-5.9224156272970431E-2</v>
      </c>
      <c r="J9" s="16">
        <v>40391</v>
      </c>
      <c r="K9" s="15">
        <v>31.790248397999999</v>
      </c>
      <c r="L9" s="15">
        <f t="shared" si="3"/>
        <v>-3.5003049462032733E-2</v>
      </c>
    </row>
    <row r="10" spans="1:15" x14ac:dyDescent="0.2">
      <c r="A10" s="16">
        <v>40422</v>
      </c>
      <c r="B10" s="15">
        <v>69429</v>
      </c>
      <c r="C10" s="15">
        <f t="shared" si="0"/>
        <v>6.3689093010739828E-2</v>
      </c>
      <c r="D10" s="16">
        <v>40422</v>
      </c>
      <c r="E10" s="15">
        <v>1.6941999999999999</v>
      </c>
      <c r="F10" s="15">
        <f t="shared" si="1"/>
        <v>-3.5827842197611419E-2</v>
      </c>
      <c r="G10" s="16">
        <v>40422</v>
      </c>
      <c r="H10" s="15">
        <v>21.712276589999998</v>
      </c>
      <c r="I10" s="15">
        <f t="shared" si="2"/>
        <v>4.6118763035883956E-2</v>
      </c>
      <c r="J10" s="16">
        <v>40422</v>
      </c>
      <c r="K10" s="15">
        <v>35.465656809000002</v>
      </c>
      <c r="L10" s="15">
        <f t="shared" si="3"/>
        <v>0.10940522579641826</v>
      </c>
    </row>
    <row r="11" spans="1:15" x14ac:dyDescent="0.2">
      <c r="A11" s="16">
        <v>40452</v>
      </c>
      <c r="B11" s="15">
        <v>70673</v>
      </c>
      <c r="C11" s="15">
        <f t="shared" si="0"/>
        <v>1.7758956963908428E-2</v>
      </c>
      <c r="D11" s="16">
        <v>40452</v>
      </c>
      <c r="E11" s="15">
        <v>1.7014</v>
      </c>
      <c r="F11" s="15">
        <f t="shared" si="1"/>
        <v>4.2407885443334729E-3</v>
      </c>
      <c r="G11" s="16">
        <v>40452</v>
      </c>
      <c r="H11" s="15">
        <v>20.566593985000001</v>
      </c>
      <c r="I11" s="15">
        <f t="shared" si="2"/>
        <v>-5.4209733767323284E-2</v>
      </c>
      <c r="J11" s="16">
        <v>40452</v>
      </c>
      <c r="K11" s="15">
        <v>36.726540513000003</v>
      </c>
      <c r="L11" s="15">
        <f t="shared" si="3"/>
        <v>3.4934854033209166E-2</v>
      </c>
    </row>
    <row r="12" spans="1:15" x14ac:dyDescent="0.2">
      <c r="A12" s="16">
        <v>40483</v>
      </c>
      <c r="B12" s="15">
        <v>67705</v>
      </c>
      <c r="C12" s="15">
        <f t="shared" si="0"/>
        <v>-4.2903572194755789E-2</v>
      </c>
      <c r="D12" s="16">
        <v>40483</v>
      </c>
      <c r="E12" s="15">
        <v>1.7161</v>
      </c>
      <c r="F12" s="15">
        <f t="shared" si="1"/>
        <v>8.602832866473363E-3</v>
      </c>
      <c r="G12" s="16">
        <v>40483</v>
      </c>
      <c r="H12" s="15">
        <v>19.668067703999998</v>
      </c>
      <c r="I12" s="15">
        <f t="shared" si="2"/>
        <v>-4.4671716395708862E-2</v>
      </c>
      <c r="J12" s="16">
        <v>40483</v>
      </c>
      <c r="K12" s="15">
        <v>36.699132646999999</v>
      </c>
      <c r="L12" s="15">
        <f t="shared" si="3"/>
        <v>-7.4654725230021606E-4</v>
      </c>
    </row>
    <row r="13" spans="1:15" x14ac:dyDescent="0.2">
      <c r="A13" s="16">
        <v>40513</v>
      </c>
      <c r="B13" s="15">
        <v>69304</v>
      </c>
      <c r="C13" s="15">
        <f t="shared" si="0"/>
        <v>2.3342592153051844E-2</v>
      </c>
      <c r="D13" s="16">
        <v>40513</v>
      </c>
      <c r="E13" s="15">
        <v>1.6661999999999999</v>
      </c>
      <c r="F13" s="15">
        <f t="shared" si="1"/>
        <v>-2.9508689867448559E-2</v>
      </c>
      <c r="G13" s="16">
        <v>40513</v>
      </c>
      <c r="H13" s="15">
        <v>21.998364413000001</v>
      </c>
      <c r="I13" s="15">
        <f t="shared" si="2"/>
        <v>0.11197171384430307</v>
      </c>
      <c r="J13" s="16">
        <v>40513</v>
      </c>
      <c r="K13" s="15">
        <v>37.911930720000001</v>
      </c>
      <c r="L13" s="15">
        <f t="shared" si="3"/>
        <v>3.2512736089356294E-2</v>
      </c>
    </row>
    <row r="14" spans="1:15" x14ac:dyDescent="0.2">
      <c r="A14" s="16">
        <v>40544</v>
      </c>
      <c r="B14" s="15">
        <v>66574</v>
      </c>
      <c r="C14" s="15">
        <f t="shared" si="0"/>
        <v>-4.0188513654052772E-2</v>
      </c>
      <c r="D14" s="16">
        <v>40544</v>
      </c>
      <c r="E14" s="15">
        <v>1.6734</v>
      </c>
      <c r="F14" s="15">
        <f t="shared" si="1"/>
        <v>4.3119003206893679E-3</v>
      </c>
      <c r="G14" s="16">
        <v>40544</v>
      </c>
      <c r="H14" s="15">
        <v>21.837145179</v>
      </c>
      <c r="I14" s="15">
        <f t="shared" si="2"/>
        <v>-7.3556786454940758E-3</v>
      </c>
      <c r="J14" s="16">
        <v>40544</v>
      </c>
      <c r="K14" s="15">
        <v>39.320907771999998</v>
      </c>
      <c r="L14" s="15">
        <f t="shared" si="3"/>
        <v>3.6490524513775449E-2</v>
      </c>
    </row>
    <row r="15" spans="1:15" x14ac:dyDescent="0.2">
      <c r="A15" s="16">
        <v>40575</v>
      </c>
      <c r="B15" s="15">
        <v>67383</v>
      </c>
      <c r="C15" s="15">
        <f t="shared" si="0"/>
        <v>1.2078649650981212E-2</v>
      </c>
      <c r="D15" s="16">
        <v>40575</v>
      </c>
      <c r="E15" s="15">
        <v>1.6612</v>
      </c>
      <c r="F15" s="15">
        <f t="shared" si="1"/>
        <v>-7.3172521048998126E-3</v>
      </c>
      <c r="G15" s="16">
        <v>40575</v>
      </c>
      <c r="H15" s="15">
        <v>23.038228469</v>
      </c>
      <c r="I15" s="15">
        <f t="shared" si="2"/>
        <v>5.3542516419763084E-2</v>
      </c>
      <c r="J15" s="16">
        <v>40575</v>
      </c>
      <c r="K15" s="15">
        <v>38.783586327000002</v>
      </c>
      <c r="L15" s="15">
        <f t="shared" si="3"/>
        <v>-1.375925747132052E-2</v>
      </c>
    </row>
    <row r="16" spans="1:15" x14ac:dyDescent="0.2">
      <c r="A16" s="16">
        <v>40603</v>
      </c>
      <c r="B16" s="15">
        <v>68586</v>
      </c>
      <c r="C16" s="15">
        <f t="shared" si="0"/>
        <v>1.7695671686928753E-2</v>
      </c>
      <c r="D16" s="16">
        <v>40603</v>
      </c>
      <c r="E16" s="15">
        <v>1.6287</v>
      </c>
      <c r="F16" s="15">
        <f t="shared" si="1"/>
        <v>-1.9758082177083389E-2</v>
      </c>
      <c r="G16" s="16">
        <v>40603</v>
      </c>
      <c r="H16" s="15">
        <v>23.107252845000001</v>
      </c>
      <c r="I16" s="15">
        <f t="shared" si="2"/>
        <v>2.991600716400446E-3</v>
      </c>
      <c r="J16" s="16">
        <v>40603</v>
      </c>
      <c r="K16" s="15">
        <v>36.751409068000001</v>
      </c>
      <c r="L16" s="15">
        <f t="shared" si="3"/>
        <v>-5.3820557406122578E-2</v>
      </c>
    </row>
    <row r="17" spans="1:12" x14ac:dyDescent="0.2">
      <c r="A17" s="16">
        <v>40634</v>
      </c>
      <c r="B17" s="15">
        <v>66132</v>
      </c>
      <c r="C17" s="15">
        <f t="shared" si="0"/>
        <v>-3.6435687582597735E-2</v>
      </c>
      <c r="D17" s="16">
        <v>40634</v>
      </c>
      <c r="E17" s="15">
        <v>1.5732999999999999</v>
      </c>
      <c r="F17" s="15">
        <f t="shared" si="1"/>
        <v>-3.4606826333137594E-2</v>
      </c>
      <c r="G17" s="16">
        <v>40634</v>
      </c>
      <c r="H17" s="15">
        <v>20.850461802000002</v>
      </c>
      <c r="I17" s="15">
        <f t="shared" si="2"/>
        <v>-0.1027704474451243</v>
      </c>
      <c r="J17" s="16">
        <v>40634</v>
      </c>
      <c r="K17" s="15">
        <v>36.105271641000002</v>
      </c>
      <c r="L17" s="15">
        <f t="shared" si="3"/>
        <v>-1.773768339597738E-2</v>
      </c>
    </row>
    <row r="18" spans="1:12" x14ac:dyDescent="0.2">
      <c r="A18" s="16">
        <v>40664</v>
      </c>
      <c r="B18" s="15">
        <v>64620</v>
      </c>
      <c r="C18" s="15">
        <f t="shared" si="0"/>
        <v>-2.3128784292746382E-2</v>
      </c>
      <c r="D18" s="16">
        <v>40664</v>
      </c>
      <c r="E18" s="15">
        <v>1.5799000000000001</v>
      </c>
      <c r="F18" s="15">
        <f t="shared" si="1"/>
        <v>4.1862296324258301E-3</v>
      </c>
      <c r="G18" s="16">
        <v>40664</v>
      </c>
      <c r="H18" s="15">
        <v>19.785420174999999</v>
      </c>
      <c r="I18" s="15">
        <f t="shared" si="2"/>
        <v>-5.243078511635494E-2</v>
      </c>
      <c r="J18" s="16">
        <v>40664</v>
      </c>
      <c r="K18" s="15">
        <v>35.031664413000001</v>
      </c>
      <c r="L18" s="15">
        <f t="shared" si="3"/>
        <v>-3.0186533502666958E-2</v>
      </c>
    </row>
    <row r="19" spans="1:12" x14ac:dyDescent="0.2">
      <c r="A19" s="16">
        <v>40695</v>
      </c>
      <c r="B19" s="15">
        <v>62403</v>
      </c>
      <c r="C19" s="15">
        <f t="shared" si="0"/>
        <v>-3.4910609253551564E-2</v>
      </c>
      <c r="D19" s="16">
        <v>40695</v>
      </c>
      <c r="E19" s="15">
        <v>1.5610999999999999</v>
      </c>
      <c r="F19" s="15">
        <f t="shared" si="1"/>
        <v>-1.1970852916182441E-2</v>
      </c>
      <c r="G19" s="16">
        <v>40695</v>
      </c>
      <c r="H19" s="15">
        <v>19.481534519</v>
      </c>
      <c r="I19" s="15">
        <f t="shared" si="2"/>
        <v>-1.5478242472303737E-2</v>
      </c>
      <c r="J19" s="16">
        <v>40695</v>
      </c>
      <c r="K19" s="15">
        <v>34.501832274999998</v>
      </c>
      <c r="L19" s="15">
        <f t="shared" si="3"/>
        <v>-1.5239917964212219E-2</v>
      </c>
    </row>
    <row r="20" spans="1:12" x14ac:dyDescent="0.2">
      <c r="A20" s="16">
        <v>40725</v>
      </c>
      <c r="B20" s="15">
        <v>58823</v>
      </c>
      <c r="C20" s="15">
        <f t="shared" si="0"/>
        <v>-5.9080416257379906E-2</v>
      </c>
      <c r="D20" s="16">
        <v>40725</v>
      </c>
      <c r="E20" s="15">
        <v>1.5563</v>
      </c>
      <c r="F20" s="15">
        <f t="shared" si="1"/>
        <v>-3.0794917516565202E-3</v>
      </c>
      <c r="G20" s="16">
        <v>40725</v>
      </c>
      <c r="H20" s="15">
        <v>19.300845750000001</v>
      </c>
      <c r="I20" s="15">
        <f t="shared" si="2"/>
        <v>-9.3181529936092501E-3</v>
      </c>
      <c r="J20" s="16">
        <v>40725</v>
      </c>
      <c r="K20" s="15">
        <v>34.982864085000003</v>
      </c>
      <c r="L20" s="15">
        <f t="shared" si="3"/>
        <v>1.3845911978611609E-2</v>
      </c>
    </row>
    <row r="21" spans="1:12" x14ac:dyDescent="0.2">
      <c r="A21" s="16">
        <v>40756</v>
      </c>
      <c r="B21" s="15">
        <v>56495</v>
      </c>
      <c r="C21" s="15">
        <f t="shared" si="0"/>
        <v>-4.0380796224211146E-2</v>
      </c>
      <c r="D21" s="16">
        <v>40756</v>
      </c>
      <c r="E21" s="15">
        <v>1.5871999999999999</v>
      </c>
      <c r="F21" s="15">
        <f t="shared" si="1"/>
        <v>1.9660248319643948E-2</v>
      </c>
      <c r="G21" s="16">
        <v>40756</v>
      </c>
      <c r="H21" s="15">
        <v>17.232046234999999</v>
      </c>
      <c r="I21" s="15">
        <f t="shared" si="2"/>
        <v>-0.11337811269420665</v>
      </c>
      <c r="J21" s="16">
        <v>40756</v>
      </c>
      <c r="K21" s="15">
        <v>31.913869465000001</v>
      </c>
      <c r="L21" s="15">
        <f t="shared" si="3"/>
        <v>-9.1817649257282058E-2</v>
      </c>
    </row>
    <row r="22" spans="1:12" x14ac:dyDescent="0.2">
      <c r="A22" s="16">
        <v>40787</v>
      </c>
      <c r="B22" s="15">
        <v>52324</v>
      </c>
      <c r="C22" s="15">
        <f t="shared" si="0"/>
        <v>-7.6696981835228939E-2</v>
      </c>
      <c r="D22" s="16">
        <v>40787</v>
      </c>
      <c r="E22" s="15">
        <v>1.8544</v>
      </c>
      <c r="F22" s="15">
        <f t="shared" si="1"/>
        <v>0.155589736054879</v>
      </c>
      <c r="G22" s="16">
        <v>40787</v>
      </c>
      <c r="H22" s="15">
        <v>15.823657839999999</v>
      </c>
      <c r="I22" s="15">
        <f t="shared" si="2"/>
        <v>-8.5264651704819963E-2</v>
      </c>
      <c r="J22" s="16">
        <v>40787</v>
      </c>
      <c r="K22" s="15">
        <v>30.382288676000002</v>
      </c>
      <c r="L22" s="15">
        <f t="shared" si="3"/>
        <v>-4.9180865481377838E-2</v>
      </c>
    </row>
    <row r="23" spans="1:12" x14ac:dyDescent="0.2">
      <c r="A23" s="16">
        <v>40817</v>
      </c>
      <c r="B23" s="15">
        <v>58338</v>
      </c>
      <c r="C23" s="15">
        <f t="shared" si="0"/>
        <v>0.10879852522959434</v>
      </c>
      <c r="D23" s="16">
        <v>40817</v>
      </c>
      <c r="E23" s="15">
        <v>1.6884999999999999</v>
      </c>
      <c r="F23" s="15">
        <f t="shared" si="1"/>
        <v>-9.3720632759864905E-2</v>
      </c>
      <c r="G23" s="16">
        <v>40817</v>
      </c>
      <c r="H23" s="15">
        <v>17.662847391</v>
      </c>
      <c r="I23" s="15">
        <f t="shared" si="2"/>
        <v>0.10995726430226853</v>
      </c>
      <c r="J23" s="16">
        <v>40817</v>
      </c>
      <c r="K23" s="15">
        <v>31.878717930000001</v>
      </c>
      <c r="L23" s="15">
        <f t="shared" si="3"/>
        <v>4.8078808330440828E-2</v>
      </c>
    </row>
    <row r="24" spans="1:12" x14ac:dyDescent="0.2">
      <c r="A24" s="16">
        <v>40848</v>
      </c>
      <c r="B24" s="15">
        <v>56874</v>
      </c>
      <c r="C24" s="15">
        <f t="shared" si="0"/>
        <v>-2.5415387356615433E-2</v>
      </c>
      <c r="D24" s="16">
        <v>40848</v>
      </c>
      <c r="E24" s="15">
        <v>1.8109</v>
      </c>
      <c r="F24" s="15">
        <f t="shared" si="1"/>
        <v>6.9983398421674503E-2</v>
      </c>
      <c r="G24" s="16">
        <v>40848</v>
      </c>
      <c r="H24" s="15">
        <v>18.43552691</v>
      </c>
      <c r="I24" s="15">
        <f t="shared" si="2"/>
        <v>4.2816197225189541E-2</v>
      </c>
      <c r="J24" s="16">
        <v>40848</v>
      </c>
      <c r="K24" s="15">
        <v>30.376312098</v>
      </c>
      <c r="L24" s="15">
        <f t="shared" si="3"/>
        <v>-4.827554024800134E-2</v>
      </c>
    </row>
    <row r="25" spans="1:12" x14ac:dyDescent="0.2">
      <c r="A25" s="16">
        <v>40878</v>
      </c>
      <c r="B25" s="15">
        <v>56754</v>
      </c>
      <c r="C25" s="15">
        <f t="shared" si="0"/>
        <v>-2.1121562398711091E-3</v>
      </c>
      <c r="D25" s="16">
        <v>40878</v>
      </c>
      <c r="E25" s="15">
        <v>1.8757999999999999</v>
      </c>
      <c r="F25" s="15">
        <f t="shared" si="1"/>
        <v>3.521127582754139E-2</v>
      </c>
      <c r="G25" s="16">
        <v>40878</v>
      </c>
      <c r="H25" s="15">
        <v>17.967323052000001</v>
      </c>
      <c r="I25" s="15">
        <f t="shared" si="2"/>
        <v>-2.572489123666899E-2</v>
      </c>
      <c r="J25" s="16">
        <v>40878</v>
      </c>
      <c r="K25" s="15">
        <v>28.771801014000001</v>
      </c>
      <c r="L25" s="15">
        <f t="shared" si="3"/>
        <v>-5.4267321348506377E-2</v>
      </c>
    </row>
    <row r="26" spans="1:12" x14ac:dyDescent="0.2">
      <c r="A26" s="16">
        <v>40909</v>
      </c>
      <c r="B26" s="15">
        <v>63072</v>
      </c>
      <c r="C26" s="15">
        <f t="shared" si="0"/>
        <v>0.10555079251122118</v>
      </c>
      <c r="D26" s="16">
        <v>40909</v>
      </c>
      <c r="E26" s="15">
        <v>1.7391000000000001</v>
      </c>
      <c r="F26" s="15">
        <f t="shared" si="1"/>
        <v>-7.5667497061041103E-2</v>
      </c>
      <c r="G26" s="16">
        <v>40909</v>
      </c>
      <c r="H26" s="15">
        <v>20.733270507</v>
      </c>
      <c r="I26" s="15">
        <f t="shared" si="2"/>
        <v>0.14318495877742668</v>
      </c>
      <c r="J26" s="16">
        <v>40909</v>
      </c>
      <c r="K26" s="15">
        <v>32.600747917</v>
      </c>
      <c r="L26" s="15">
        <f t="shared" si="3"/>
        <v>0.12493945432752322</v>
      </c>
    </row>
    <row r="27" spans="1:12" x14ac:dyDescent="0.2">
      <c r="A27" s="16">
        <v>40940</v>
      </c>
      <c r="B27" s="15">
        <v>65811</v>
      </c>
      <c r="C27" s="15">
        <f t="shared" si="0"/>
        <v>4.2510066641350444E-2</v>
      </c>
      <c r="D27" s="16">
        <v>40940</v>
      </c>
      <c r="E27" s="15">
        <v>1.7092000000000001</v>
      </c>
      <c r="F27" s="15">
        <f t="shared" si="1"/>
        <v>-1.7342313243927012E-2</v>
      </c>
      <c r="G27" s="16">
        <v>40940</v>
      </c>
      <c r="H27" s="15">
        <v>20.513870819000001</v>
      </c>
      <c r="I27" s="15">
        <f t="shared" si="2"/>
        <v>-1.0638398209698318E-2</v>
      </c>
      <c r="J27" s="16">
        <v>40940</v>
      </c>
      <c r="K27" s="15">
        <v>31.762026214999999</v>
      </c>
      <c r="L27" s="15">
        <f t="shared" si="3"/>
        <v>-2.606379830329714E-2</v>
      </c>
    </row>
    <row r="28" spans="1:12" x14ac:dyDescent="0.2">
      <c r="A28" s="16">
        <v>40969</v>
      </c>
      <c r="B28" s="15">
        <v>64510</v>
      </c>
      <c r="C28" s="15">
        <f t="shared" si="0"/>
        <v>-1.9966747067509831E-2</v>
      </c>
      <c r="D28" s="16">
        <v>40969</v>
      </c>
      <c r="E28" s="15">
        <v>1.8221000000000001</v>
      </c>
      <c r="F28" s="15">
        <f t="shared" si="1"/>
        <v>6.3964257285963055E-2</v>
      </c>
      <c r="G28" s="16">
        <v>40969</v>
      </c>
      <c r="H28" s="15">
        <v>19.802891073000001</v>
      </c>
      <c r="I28" s="15">
        <f t="shared" si="2"/>
        <v>-3.5273341824338535E-2</v>
      </c>
      <c r="J28" s="16">
        <v>40969</v>
      </c>
      <c r="K28" s="15">
        <v>31.287966122</v>
      </c>
      <c r="L28" s="15">
        <f t="shared" si="3"/>
        <v>-1.5037877372173018E-2</v>
      </c>
    </row>
    <row r="29" spans="1:12" x14ac:dyDescent="0.2">
      <c r="A29" s="16">
        <v>41000</v>
      </c>
      <c r="B29" s="15">
        <v>61820</v>
      </c>
      <c r="C29" s="15">
        <f t="shared" si="0"/>
        <v>-4.2593313840180037E-2</v>
      </c>
      <c r="D29" s="16">
        <v>41000</v>
      </c>
      <c r="E29" s="15">
        <v>1.8917999999999999</v>
      </c>
      <c r="F29" s="15">
        <f t="shared" si="1"/>
        <v>3.7539074723237052E-2</v>
      </c>
      <c r="G29" s="16">
        <v>41000</v>
      </c>
      <c r="H29" s="15">
        <v>18.055826592999999</v>
      </c>
      <c r="I29" s="15">
        <f t="shared" si="2"/>
        <v>-9.2359505203873205E-2</v>
      </c>
      <c r="J29" s="16">
        <v>41000</v>
      </c>
      <c r="K29" s="15">
        <v>31.851103968</v>
      </c>
      <c r="L29" s="15">
        <f t="shared" si="3"/>
        <v>1.783848821985801E-2</v>
      </c>
    </row>
    <row r="30" spans="1:12" x14ac:dyDescent="0.2">
      <c r="A30" s="16">
        <v>41030</v>
      </c>
      <c r="B30" s="15">
        <v>54490</v>
      </c>
      <c r="C30" s="15">
        <f t="shared" si="0"/>
        <v>-0.12620973810896333</v>
      </c>
      <c r="D30" s="16">
        <v>41030</v>
      </c>
      <c r="E30" s="15">
        <v>2.0223</v>
      </c>
      <c r="F30" s="15">
        <f t="shared" si="1"/>
        <v>6.6706720748432674E-2</v>
      </c>
      <c r="G30" s="16">
        <v>41030</v>
      </c>
      <c r="H30" s="15">
        <v>16.391816098</v>
      </c>
      <c r="I30" s="15">
        <f t="shared" si="2"/>
        <v>-9.6686243761127347E-2</v>
      </c>
      <c r="J30" s="16">
        <v>41030</v>
      </c>
      <c r="K30" s="15">
        <v>28.105234699</v>
      </c>
      <c r="L30" s="15">
        <f t="shared" si="3"/>
        <v>-0.12511619568229976</v>
      </c>
    </row>
    <row r="31" spans="1:12" x14ac:dyDescent="0.2">
      <c r="A31" s="16">
        <v>41061</v>
      </c>
      <c r="B31" s="15">
        <v>54354</v>
      </c>
      <c r="C31" s="15">
        <f t="shared" si="0"/>
        <v>-2.4989906798012097E-3</v>
      </c>
      <c r="D31" s="16">
        <v>41061</v>
      </c>
      <c r="E31" s="15">
        <v>2.0213000000000001</v>
      </c>
      <c r="F31" s="15">
        <f t="shared" si="1"/>
        <v>-4.9460877455061842E-4</v>
      </c>
      <c r="G31" s="16">
        <v>41061</v>
      </c>
      <c r="H31" s="15">
        <v>15.637775419</v>
      </c>
      <c r="I31" s="15">
        <f t="shared" si="2"/>
        <v>-4.7092703500645594E-2</v>
      </c>
      <c r="J31" s="16">
        <v>41061</v>
      </c>
      <c r="K31" s="15">
        <v>30.004338081</v>
      </c>
      <c r="L31" s="15">
        <f t="shared" si="3"/>
        <v>6.5386126697348043E-2</v>
      </c>
    </row>
    <row r="32" spans="1:12" x14ac:dyDescent="0.2">
      <c r="A32" s="16">
        <v>41091</v>
      </c>
      <c r="B32" s="15">
        <v>56097</v>
      </c>
      <c r="C32" s="15">
        <f t="shared" si="0"/>
        <v>3.15641272477271E-2</v>
      </c>
      <c r="D32" s="16">
        <v>41091</v>
      </c>
      <c r="E32" s="15">
        <v>2.0499000000000001</v>
      </c>
      <c r="F32" s="15">
        <f t="shared" si="1"/>
        <v>1.4050142701890034E-2</v>
      </c>
      <c r="G32" s="16">
        <v>41091</v>
      </c>
      <c r="H32" s="15">
        <v>16.708855927999998</v>
      </c>
      <c r="I32" s="15">
        <f t="shared" si="2"/>
        <v>6.6249385592030807E-2</v>
      </c>
      <c r="J32" s="16">
        <v>41091</v>
      </c>
      <c r="K32" s="15">
        <v>27.776256159999999</v>
      </c>
      <c r="L32" s="15">
        <f t="shared" si="3"/>
        <v>-7.716041312254833E-2</v>
      </c>
    </row>
    <row r="33" spans="1:12" x14ac:dyDescent="0.2">
      <c r="A33" s="16">
        <v>41122</v>
      </c>
      <c r="B33" s="15">
        <v>57061</v>
      </c>
      <c r="C33" s="15">
        <f t="shared" si="0"/>
        <v>1.7038535880699941E-2</v>
      </c>
      <c r="D33" s="16">
        <v>41122</v>
      </c>
      <c r="E33" s="15">
        <v>2.0371999999999999</v>
      </c>
      <c r="F33" s="15">
        <f t="shared" si="1"/>
        <v>-6.2146954443927649E-3</v>
      </c>
      <c r="G33" s="16">
        <v>41122</v>
      </c>
      <c r="H33" s="15">
        <v>17.779936436</v>
      </c>
      <c r="I33" s="15">
        <f t="shared" si="2"/>
        <v>6.2131781095469116E-2</v>
      </c>
      <c r="J33" s="16">
        <v>41122</v>
      </c>
      <c r="K33" s="15">
        <v>25.256579626000001</v>
      </c>
      <c r="L33" s="15">
        <f t="shared" si="3"/>
        <v>-9.5094859761626141E-2</v>
      </c>
    </row>
    <row r="34" spans="1:12" x14ac:dyDescent="0.2">
      <c r="A34" s="16">
        <v>41153</v>
      </c>
      <c r="B34" s="15">
        <v>59175</v>
      </c>
      <c r="C34" s="15">
        <f t="shared" si="0"/>
        <v>3.6378284356414686E-2</v>
      </c>
      <c r="D34" s="16">
        <v>41153</v>
      </c>
      <c r="E34" s="15">
        <v>2.0306000000000002</v>
      </c>
      <c r="F34" s="15">
        <f t="shared" si="1"/>
        <v>-3.2450001433270781E-3</v>
      </c>
      <c r="G34" s="16">
        <v>41153</v>
      </c>
      <c r="H34" s="15">
        <v>19.168056775</v>
      </c>
      <c r="I34" s="15">
        <f t="shared" si="2"/>
        <v>7.5174528845268762E-2</v>
      </c>
      <c r="J34" s="16">
        <v>41153</v>
      </c>
      <c r="K34" s="15">
        <v>27.282788352000001</v>
      </c>
      <c r="L34" s="15">
        <f t="shared" si="3"/>
        <v>7.7169339044635674E-2</v>
      </c>
    </row>
    <row r="35" spans="1:12" x14ac:dyDescent="0.2">
      <c r="A35" s="16">
        <v>41183</v>
      </c>
      <c r="B35" s="15">
        <v>57068</v>
      </c>
      <c r="C35" s="15">
        <f t="shared" si="0"/>
        <v>-3.6255616147479588E-2</v>
      </c>
      <c r="D35" s="16">
        <v>41183</v>
      </c>
      <c r="E35" s="15">
        <v>2.0312999999999999</v>
      </c>
      <c r="F35" s="15">
        <f t="shared" si="1"/>
        <v>3.4466629258699162E-4</v>
      </c>
      <c r="G35" s="16">
        <v>41183</v>
      </c>
      <c r="H35" s="15">
        <v>17.822779657000002</v>
      </c>
      <c r="I35" s="15">
        <f t="shared" si="2"/>
        <v>-7.2767788776982825E-2</v>
      </c>
      <c r="J35" s="16">
        <v>41183</v>
      </c>
      <c r="K35" s="15">
        <v>28.900348210000001</v>
      </c>
      <c r="L35" s="15">
        <f t="shared" si="3"/>
        <v>5.7597603766073813E-2</v>
      </c>
    </row>
    <row r="36" spans="1:12" x14ac:dyDescent="0.2">
      <c r="A36" s="16">
        <v>41214</v>
      </c>
      <c r="B36" s="15">
        <v>57474</v>
      </c>
      <c r="C36" s="15">
        <f t="shared" si="0"/>
        <v>7.0891323762416287E-3</v>
      </c>
      <c r="D36" s="16">
        <v>41214</v>
      </c>
      <c r="E36" s="15">
        <v>2.1074000000000002</v>
      </c>
      <c r="F36" s="15">
        <f t="shared" si="1"/>
        <v>3.6778978005718013E-2</v>
      </c>
      <c r="G36" s="16">
        <v>41214</v>
      </c>
      <c r="H36" s="15">
        <v>15.989089826000001</v>
      </c>
      <c r="I36" s="15">
        <f t="shared" si="2"/>
        <v>-0.10857079134466358</v>
      </c>
      <c r="J36" s="16">
        <v>41214</v>
      </c>
      <c r="K36" s="15">
        <v>29.016103944000001</v>
      </c>
      <c r="L36" s="15">
        <f t="shared" si="3"/>
        <v>3.9973404388780817E-3</v>
      </c>
    </row>
    <row r="37" spans="1:12" x14ac:dyDescent="0.2">
      <c r="A37" s="16">
        <v>41244</v>
      </c>
      <c r="B37" s="15">
        <v>60952</v>
      </c>
      <c r="C37" s="15">
        <f t="shared" si="0"/>
        <v>5.8753997541898972E-2</v>
      </c>
      <c r="D37" s="16">
        <v>41244</v>
      </c>
      <c r="E37" s="15">
        <v>2.0434999999999999</v>
      </c>
      <c r="F37" s="15">
        <f t="shared" si="1"/>
        <v>-3.0790936161095416E-2</v>
      </c>
      <c r="G37" s="16">
        <v>41244</v>
      </c>
      <c r="H37" s="15">
        <v>16.725993215999999</v>
      </c>
      <c r="I37" s="15">
        <f t="shared" si="2"/>
        <v>4.5057385588304938E-2</v>
      </c>
      <c r="J37" s="16">
        <v>41244</v>
      </c>
      <c r="K37" s="15">
        <v>32.627682839000002</v>
      </c>
      <c r="L37" s="15">
        <f t="shared" si="3"/>
        <v>0.11731011060136246</v>
      </c>
    </row>
    <row r="38" spans="1:12" x14ac:dyDescent="0.2">
      <c r="A38" s="16">
        <v>41275</v>
      </c>
      <c r="B38" s="15">
        <v>59761</v>
      </c>
      <c r="C38" s="15">
        <f t="shared" si="0"/>
        <v>-1.9733394885080809E-2</v>
      </c>
      <c r="D38" s="16">
        <v>41275</v>
      </c>
      <c r="E38" s="15">
        <v>1.9883</v>
      </c>
      <c r="F38" s="15">
        <f t="shared" si="1"/>
        <v>-2.7384021740296471E-2</v>
      </c>
      <c r="G38" s="16">
        <v>41275</v>
      </c>
      <c r="H38" s="15">
        <v>15.49210847</v>
      </c>
      <c r="I38" s="15">
        <f t="shared" si="2"/>
        <v>-7.6633226056894099E-2</v>
      </c>
      <c r="J38" s="16">
        <v>41275</v>
      </c>
      <c r="K38" s="15">
        <v>31.068838957000001</v>
      </c>
      <c r="L38" s="15">
        <f t="shared" si="3"/>
        <v>-4.8955740787483493E-2</v>
      </c>
    </row>
    <row r="39" spans="1:12" x14ac:dyDescent="0.2">
      <c r="A39" s="16">
        <v>41306</v>
      </c>
      <c r="B39" s="15">
        <v>57424</v>
      </c>
      <c r="C39" s="15">
        <f t="shared" si="0"/>
        <v>-3.9890939880376175E-2</v>
      </c>
      <c r="D39" s="16">
        <v>41306</v>
      </c>
      <c r="E39" s="15">
        <v>1.9754</v>
      </c>
      <c r="F39" s="15">
        <f t="shared" si="1"/>
        <v>-6.5090927900084694E-3</v>
      </c>
      <c r="G39" s="16">
        <v>41306</v>
      </c>
      <c r="H39" s="15">
        <v>14.232517793</v>
      </c>
      <c r="I39" s="15">
        <f t="shared" si="2"/>
        <v>-8.4801431297089641E-2</v>
      </c>
      <c r="J39" s="16">
        <v>41306</v>
      </c>
      <c r="K39" s="15">
        <v>29.170444922000001</v>
      </c>
      <c r="L39" s="15">
        <f t="shared" si="3"/>
        <v>-6.3049317598773705E-2</v>
      </c>
    </row>
    <row r="40" spans="1:12" x14ac:dyDescent="0.2">
      <c r="A40" s="16">
        <v>41334</v>
      </c>
      <c r="B40" s="15">
        <v>56352</v>
      </c>
      <c r="C40" s="15">
        <f t="shared" si="0"/>
        <v>-1.8844602091455772E-2</v>
      </c>
      <c r="D40" s="16">
        <v>41334</v>
      </c>
      <c r="E40" s="15">
        <v>2.0137999999999998</v>
      </c>
      <c r="F40" s="15">
        <f t="shared" si="1"/>
        <v>1.9252575007487435E-2</v>
      </c>
      <c r="G40" s="16">
        <v>41334</v>
      </c>
      <c r="H40" s="15">
        <v>15.72346186</v>
      </c>
      <c r="I40" s="15">
        <f t="shared" si="2"/>
        <v>9.9624650848764484E-2</v>
      </c>
      <c r="J40" s="16">
        <v>41334</v>
      </c>
      <c r="K40" s="15">
        <v>26.932500735000001</v>
      </c>
      <c r="L40" s="15">
        <f t="shared" si="3"/>
        <v>-7.9822273412052669E-2</v>
      </c>
    </row>
    <row r="41" spans="1:12" x14ac:dyDescent="0.2">
      <c r="A41" s="16">
        <v>41365</v>
      </c>
      <c r="B41" s="15">
        <v>55910</v>
      </c>
      <c r="C41" s="15">
        <f t="shared" si="0"/>
        <v>-7.8744772752417352E-3</v>
      </c>
      <c r="D41" s="16">
        <v>41365</v>
      </c>
      <c r="E41" s="15">
        <v>2.0017</v>
      </c>
      <c r="F41" s="15">
        <f t="shared" si="1"/>
        <v>-6.0266649848541142E-3</v>
      </c>
      <c r="G41" s="16">
        <v>41365</v>
      </c>
      <c r="H41" s="15">
        <v>17.897848693</v>
      </c>
      <c r="I41" s="15">
        <f t="shared" si="2"/>
        <v>0.12952653801738598</v>
      </c>
      <c r="J41" s="16">
        <v>41365</v>
      </c>
      <c r="K41" s="15">
        <v>27.137149474000001</v>
      </c>
      <c r="L41" s="15">
        <f t="shared" si="3"/>
        <v>7.5698553791996512E-3</v>
      </c>
    </row>
    <row r="42" spans="1:12" x14ac:dyDescent="0.2">
      <c r="A42" s="16">
        <v>41395</v>
      </c>
      <c r="B42" s="15">
        <v>53506</v>
      </c>
      <c r="C42" s="15">
        <f t="shared" si="0"/>
        <v>-4.394945789217148E-2</v>
      </c>
      <c r="D42" s="16">
        <v>41395</v>
      </c>
      <c r="E42" s="15">
        <v>2.1318999999999999</v>
      </c>
      <c r="F42" s="15">
        <f t="shared" si="1"/>
        <v>6.3016781373836012E-2</v>
      </c>
      <c r="G42" s="16">
        <v>41395</v>
      </c>
      <c r="H42" s="15">
        <v>17.862213354000001</v>
      </c>
      <c r="I42" s="15">
        <f t="shared" si="2"/>
        <v>-1.9930251099062519E-3</v>
      </c>
      <c r="J42" s="16">
        <v>41395</v>
      </c>
      <c r="K42" s="15">
        <v>24.126312452000001</v>
      </c>
      <c r="L42" s="15">
        <f t="shared" si="3"/>
        <v>-0.11760057055511168</v>
      </c>
    </row>
    <row r="43" spans="1:12" x14ac:dyDescent="0.2">
      <c r="A43" s="16">
        <v>41426</v>
      </c>
      <c r="B43" s="15">
        <v>47457</v>
      </c>
      <c r="C43" s="15">
        <f t="shared" si="0"/>
        <v>-0.11996975926183032</v>
      </c>
      <c r="D43" s="16">
        <v>41426</v>
      </c>
      <c r="E43" s="15">
        <v>2.2155999999999998</v>
      </c>
      <c r="F43" s="15">
        <f t="shared" si="1"/>
        <v>3.8509646288452493E-2</v>
      </c>
      <c r="G43" s="16">
        <v>41426</v>
      </c>
      <c r="H43" s="15">
        <v>14.414494367</v>
      </c>
      <c r="I43" s="15">
        <f t="shared" si="2"/>
        <v>-0.21445324215465361</v>
      </c>
      <c r="J43" s="16">
        <v>41426</v>
      </c>
      <c r="K43" s="15">
        <v>23.056672983999999</v>
      </c>
      <c r="L43" s="15">
        <f t="shared" si="3"/>
        <v>-4.5347819964785485E-2</v>
      </c>
    </row>
    <row r="44" spans="1:12" x14ac:dyDescent="0.2">
      <c r="A44" s="16">
        <v>41456</v>
      </c>
      <c r="B44" s="15">
        <v>48234</v>
      </c>
      <c r="C44" s="15">
        <f t="shared" si="0"/>
        <v>1.6240128689326772E-2</v>
      </c>
      <c r="D44" s="16">
        <v>41456</v>
      </c>
      <c r="E44" s="15">
        <v>2.2902999999999998</v>
      </c>
      <c r="F44" s="15">
        <f t="shared" si="1"/>
        <v>3.3159566175825952E-2</v>
      </c>
      <c r="G44" s="16">
        <v>41456</v>
      </c>
      <c r="H44" s="15">
        <v>14.512491548</v>
      </c>
      <c r="I44" s="15">
        <f t="shared" si="2"/>
        <v>6.7755110185721999E-3</v>
      </c>
      <c r="J44" s="16">
        <v>41456</v>
      </c>
      <c r="K44" s="15">
        <v>24.577938006</v>
      </c>
      <c r="L44" s="15">
        <f t="shared" si="3"/>
        <v>6.3893983586213968E-2</v>
      </c>
    </row>
    <row r="45" spans="1:12" x14ac:dyDescent="0.2">
      <c r="A45" s="16">
        <v>41487</v>
      </c>
      <c r="B45" s="15">
        <v>50011</v>
      </c>
      <c r="C45" s="15">
        <f t="shared" si="0"/>
        <v>3.6178814657816132E-2</v>
      </c>
      <c r="D45" s="16">
        <v>41487</v>
      </c>
      <c r="E45" s="15">
        <v>2.3725000000000001</v>
      </c>
      <c r="F45" s="15">
        <f t="shared" si="1"/>
        <v>3.5261438149308204E-2</v>
      </c>
      <c r="G45" s="16">
        <v>41487</v>
      </c>
      <c r="H45" s="15">
        <v>14.966842112</v>
      </c>
      <c r="I45" s="15">
        <f t="shared" si="2"/>
        <v>3.0827463787384553E-2</v>
      </c>
      <c r="J45" s="16">
        <v>41487</v>
      </c>
      <c r="K45" s="15">
        <v>27.271844815000001</v>
      </c>
      <c r="L45" s="15">
        <f t="shared" si="3"/>
        <v>0.10400563302883024</v>
      </c>
    </row>
    <row r="46" spans="1:12" x14ac:dyDescent="0.2">
      <c r="A46" s="16">
        <v>41518</v>
      </c>
      <c r="B46" s="15">
        <v>52338</v>
      </c>
      <c r="C46" s="15">
        <f t="shared" si="0"/>
        <v>4.5479703447441643E-2</v>
      </c>
      <c r="D46" s="16">
        <v>41518</v>
      </c>
      <c r="E46" s="15">
        <v>2.23</v>
      </c>
      <c r="F46" s="15">
        <f t="shared" si="1"/>
        <v>-6.1942666029918533E-2</v>
      </c>
      <c r="G46" s="16">
        <v>41518</v>
      </c>
      <c r="H46" s="15">
        <v>16.356620309</v>
      </c>
      <c r="I46" s="15">
        <f t="shared" si="2"/>
        <v>8.8795498837281273E-2</v>
      </c>
      <c r="J46" s="16">
        <v>41518</v>
      </c>
      <c r="K46" s="15">
        <v>27.303537836</v>
      </c>
      <c r="L46" s="15">
        <f t="shared" si="3"/>
        <v>1.1614403059835305E-3</v>
      </c>
    </row>
    <row r="47" spans="1:12" x14ac:dyDescent="0.2">
      <c r="A47" s="16">
        <v>41548</v>
      </c>
      <c r="B47" s="15">
        <v>54256</v>
      </c>
      <c r="C47" s="15">
        <f t="shared" si="0"/>
        <v>3.5990900704146261E-2</v>
      </c>
      <c r="D47" s="16">
        <v>41548</v>
      </c>
      <c r="E47" s="15">
        <v>2.2025999999999999</v>
      </c>
      <c r="F47" s="15">
        <f t="shared" si="1"/>
        <v>-1.2363104723320887E-2</v>
      </c>
      <c r="G47" s="16">
        <v>41548</v>
      </c>
      <c r="H47" s="15">
        <v>18.200749069</v>
      </c>
      <c r="I47" s="15">
        <f t="shared" si="2"/>
        <v>0.10683002361914132</v>
      </c>
      <c r="J47" s="16">
        <v>41548</v>
      </c>
      <c r="K47" s="15">
        <v>29.091739829000002</v>
      </c>
      <c r="L47" s="15">
        <f t="shared" si="3"/>
        <v>6.3437994352555441E-2</v>
      </c>
    </row>
    <row r="48" spans="1:12" x14ac:dyDescent="0.2">
      <c r="A48" s="16">
        <v>41579</v>
      </c>
      <c r="B48" s="15">
        <v>52482</v>
      </c>
      <c r="C48" s="15">
        <f t="shared" si="0"/>
        <v>-3.3243331717509893E-2</v>
      </c>
      <c r="D48" s="16">
        <v>41579</v>
      </c>
      <c r="E48" s="15">
        <v>2.3249</v>
      </c>
      <c r="F48" s="15">
        <f t="shared" si="1"/>
        <v>5.4038546612936091E-2</v>
      </c>
      <c r="G48" s="16">
        <v>41579</v>
      </c>
      <c r="H48" s="15">
        <v>17.033691737000002</v>
      </c>
      <c r="I48" s="15">
        <f t="shared" si="2"/>
        <v>-6.6269501241821585E-2</v>
      </c>
      <c r="J48" s="16">
        <v>41579</v>
      </c>
      <c r="K48" s="15">
        <v>29.189390423999999</v>
      </c>
      <c r="L48" s="15">
        <f t="shared" si="3"/>
        <v>3.3510223962876454E-3</v>
      </c>
    </row>
    <row r="49" spans="1:12" x14ac:dyDescent="0.2">
      <c r="A49" s="16">
        <v>41609</v>
      </c>
      <c r="B49" s="15">
        <v>51507</v>
      </c>
      <c r="C49" s="15">
        <f t="shared" si="0"/>
        <v>-1.8752532902588284E-2</v>
      </c>
      <c r="D49" s="16">
        <v>41609</v>
      </c>
      <c r="E49" s="15">
        <v>2.3426</v>
      </c>
      <c r="F49" s="15">
        <f t="shared" si="1"/>
        <v>7.5843962919948339E-3</v>
      </c>
      <c r="G49" s="16">
        <v>41609</v>
      </c>
      <c r="H49" s="15">
        <v>15.21628948</v>
      </c>
      <c r="I49" s="15">
        <f t="shared" si="2"/>
        <v>-0.11282671929844071</v>
      </c>
      <c r="J49" s="16">
        <v>41609</v>
      </c>
      <c r="K49" s="15">
        <v>29.059189630999999</v>
      </c>
      <c r="L49" s="15">
        <f t="shared" si="3"/>
        <v>-4.4705299158358785E-3</v>
      </c>
    </row>
    <row r="50" spans="1:12" x14ac:dyDescent="0.2">
      <c r="A50" s="16">
        <v>41640</v>
      </c>
      <c r="B50" s="15">
        <v>47638</v>
      </c>
      <c r="C50" s="15">
        <f t="shared" si="0"/>
        <v>-7.8086958685461838E-2</v>
      </c>
      <c r="D50" s="16">
        <v>41640</v>
      </c>
      <c r="E50" s="15">
        <v>2.4262999999999999</v>
      </c>
      <c r="F50" s="15">
        <f t="shared" si="1"/>
        <v>3.5106039569159808E-2</v>
      </c>
      <c r="G50" s="16">
        <v>41640</v>
      </c>
      <c r="H50" s="15">
        <v>13.095986848000001</v>
      </c>
      <c r="I50" s="15">
        <f t="shared" si="2"/>
        <v>-0.15006069454068299</v>
      </c>
      <c r="J50" s="16">
        <v>41640</v>
      </c>
      <c r="K50" s="15">
        <v>26.894601435999999</v>
      </c>
      <c r="L50" s="15">
        <f t="shared" si="3"/>
        <v>-7.7409195334682088E-2</v>
      </c>
    </row>
    <row r="51" spans="1:12" x14ac:dyDescent="0.2">
      <c r="A51" s="16">
        <v>41671</v>
      </c>
      <c r="B51" s="15">
        <v>47094</v>
      </c>
      <c r="C51" s="15">
        <f t="shared" si="0"/>
        <v>-1.1485157704991065E-2</v>
      </c>
      <c r="D51" s="16">
        <v>41671</v>
      </c>
      <c r="E51" s="15">
        <v>2.3334000000000001</v>
      </c>
      <c r="F51" s="15">
        <f t="shared" si="1"/>
        <v>-3.9041031815177409E-2</v>
      </c>
      <c r="G51" s="16">
        <v>41671</v>
      </c>
      <c r="H51" s="15">
        <v>12.107106207999999</v>
      </c>
      <c r="I51" s="15">
        <f t="shared" si="2"/>
        <v>-7.8513265659396619E-2</v>
      </c>
      <c r="J51" s="16">
        <v>41671</v>
      </c>
      <c r="K51" s="15">
        <v>26.853913687999999</v>
      </c>
      <c r="L51" s="15">
        <f t="shared" si="3"/>
        <v>-1.5140048307643054E-3</v>
      </c>
    </row>
    <row r="52" spans="1:12" x14ac:dyDescent="0.2">
      <c r="A52" s="16">
        <v>41699</v>
      </c>
      <c r="B52" s="15">
        <v>50414</v>
      </c>
      <c r="C52" s="15">
        <f t="shared" si="0"/>
        <v>6.8123309909265073E-2</v>
      </c>
      <c r="D52" s="16">
        <v>41699</v>
      </c>
      <c r="E52" s="15">
        <v>2.2629999999999999</v>
      </c>
      <c r="F52" s="15">
        <f t="shared" si="1"/>
        <v>-3.0635064756219372E-2</v>
      </c>
      <c r="G52" s="16">
        <v>41699</v>
      </c>
      <c r="H52" s="15">
        <v>14.058140984</v>
      </c>
      <c r="I52" s="15">
        <f t="shared" si="2"/>
        <v>0.14940908730869307</v>
      </c>
      <c r="J52" s="16">
        <v>41699</v>
      </c>
      <c r="K52" s="15">
        <v>25.568180851000001</v>
      </c>
      <c r="L52" s="15">
        <f t="shared" si="3"/>
        <v>-4.9062928631846484E-2</v>
      </c>
    </row>
    <row r="53" spans="1:12" x14ac:dyDescent="0.2">
      <c r="A53" s="16">
        <v>41730</v>
      </c>
      <c r="B53" s="15">
        <v>51626</v>
      </c>
      <c r="C53" s="15">
        <f t="shared" si="0"/>
        <v>2.3756507271643593E-2</v>
      </c>
      <c r="D53" s="16">
        <v>41730</v>
      </c>
      <c r="E53" s="15">
        <v>2.2360000000000002</v>
      </c>
      <c r="F53" s="15">
        <f t="shared" si="1"/>
        <v>-1.2002811358547479E-2</v>
      </c>
      <c r="G53" s="16">
        <v>41730</v>
      </c>
      <c r="H53" s="15">
        <v>15.701971176000001</v>
      </c>
      <c r="I53" s="15">
        <f t="shared" si="2"/>
        <v>0.11058459964314665</v>
      </c>
      <c r="J53" s="16">
        <v>41730</v>
      </c>
      <c r="K53" s="15">
        <v>24.596637204</v>
      </c>
      <c r="L53" s="15">
        <f t="shared" si="3"/>
        <v>-3.8738908322939435E-2</v>
      </c>
    </row>
    <row r="54" spans="1:12" x14ac:dyDescent="0.2">
      <c r="A54" s="16">
        <v>41760</v>
      </c>
      <c r="B54" s="15">
        <v>51239</v>
      </c>
      <c r="C54" s="15">
        <f t="shared" si="0"/>
        <v>-7.524460718669003E-3</v>
      </c>
      <c r="D54" s="16">
        <v>41760</v>
      </c>
      <c r="E54" s="15">
        <v>2.2389999999999999</v>
      </c>
      <c r="F54" s="15">
        <f t="shared" si="1"/>
        <v>1.3407823237648634E-3</v>
      </c>
      <c r="G54" s="16">
        <v>41760</v>
      </c>
      <c r="H54" s="15">
        <v>15.815684908</v>
      </c>
      <c r="I54" s="15">
        <f t="shared" si="2"/>
        <v>7.2159062280982237E-3</v>
      </c>
      <c r="J54" s="16">
        <v>41760</v>
      </c>
      <c r="K54" s="15">
        <v>23.760016890999999</v>
      </c>
      <c r="L54" s="15">
        <f t="shared" si="3"/>
        <v>-3.4605529174898841E-2</v>
      </c>
    </row>
    <row r="55" spans="1:12" x14ac:dyDescent="0.2">
      <c r="A55" s="16">
        <v>41791</v>
      </c>
      <c r="B55" s="15">
        <v>53168</v>
      </c>
      <c r="C55" s="15">
        <f t="shared" si="0"/>
        <v>3.6955750777267135E-2</v>
      </c>
      <c r="D55" s="16">
        <v>41791</v>
      </c>
      <c r="E55" s="15">
        <v>2.2025000000000001</v>
      </c>
      <c r="F55" s="15">
        <f t="shared" si="1"/>
        <v>-1.6436258788420102E-2</v>
      </c>
      <c r="G55" s="16">
        <v>41791</v>
      </c>
      <c r="H55" s="15">
        <v>16.384253568999998</v>
      </c>
      <c r="I55" s="15">
        <f t="shared" si="2"/>
        <v>3.5318562048114406E-2</v>
      </c>
      <c r="J55" s="16">
        <v>41791</v>
      </c>
      <c r="K55" s="15">
        <v>24.462777954</v>
      </c>
      <c r="L55" s="15">
        <f t="shared" si="3"/>
        <v>2.9148489715511431E-2</v>
      </c>
    </row>
    <row r="56" spans="1:12" x14ac:dyDescent="0.2">
      <c r="A56" s="16">
        <v>41821</v>
      </c>
      <c r="B56" s="15">
        <v>55829</v>
      </c>
      <c r="C56" s="15">
        <f t="shared" si="0"/>
        <v>4.8836736032511999E-2</v>
      </c>
      <c r="D56" s="16">
        <v>41821</v>
      </c>
      <c r="E56" s="15">
        <v>2.2673999999999999</v>
      </c>
      <c r="F56" s="15">
        <f t="shared" si="1"/>
        <v>2.9040721773163556E-2</v>
      </c>
      <c r="G56" s="16">
        <v>41821</v>
      </c>
      <c r="H56" s="15">
        <v>18.099435696</v>
      </c>
      <c r="I56" s="15">
        <f t="shared" si="2"/>
        <v>9.9560035408321618E-2</v>
      </c>
      <c r="J56" s="16">
        <v>41821</v>
      </c>
      <c r="K56" s="15">
        <v>27.231991189999999</v>
      </c>
      <c r="L56" s="15">
        <f t="shared" si="3"/>
        <v>0.10723973376408387</v>
      </c>
    </row>
    <row r="57" spans="1:12" x14ac:dyDescent="0.2">
      <c r="A57" s="16">
        <v>41852</v>
      </c>
      <c r="B57" s="15">
        <v>61288</v>
      </c>
      <c r="C57" s="15">
        <f t="shared" si="0"/>
        <v>9.3290617569769446E-2</v>
      </c>
      <c r="D57" s="16">
        <v>41852</v>
      </c>
      <c r="E57" s="15">
        <v>2.2395999999999998</v>
      </c>
      <c r="F57" s="15">
        <f t="shared" si="1"/>
        <v>-1.2336522108760045E-2</v>
      </c>
      <c r="G57" s="16">
        <v>41852</v>
      </c>
      <c r="H57" s="15">
        <v>22.126797041</v>
      </c>
      <c r="I57" s="15">
        <f t="shared" si="2"/>
        <v>0.20090864901854774</v>
      </c>
      <c r="J57" s="16">
        <v>41852</v>
      </c>
      <c r="K57" s="15">
        <v>24.362383516000001</v>
      </c>
      <c r="L57" s="15">
        <f t="shared" si="3"/>
        <v>-0.11135214533492019</v>
      </c>
    </row>
    <row r="58" spans="1:12" x14ac:dyDescent="0.2">
      <c r="A58" s="16">
        <v>41883</v>
      </c>
      <c r="B58" s="15">
        <v>54115</v>
      </c>
      <c r="C58" s="15">
        <f t="shared" si="0"/>
        <v>-0.12447265346741006</v>
      </c>
      <c r="D58" s="16">
        <v>41883</v>
      </c>
      <c r="E58" s="15">
        <v>2.4510000000000001</v>
      </c>
      <c r="F58" s="15">
        <f t="shared" si="1"/>
        <v>9.0198826053374467E-2</v>
      </c>
      <c r="G58" s="16">
        <v>41883</v>
      </c>
      <c r="H58" s="15">
        <v>17.142345117000001</v>
      </c>
      <c r="I58" s="15">
        <f t="shared" si="2"/>
        <v>-0.25523768468206992</v>
      </c>
      <c r="J58" s="16">
        <v>41883</v>
      </c>
      <c r="K58" s="15">
        <v>22.463255405999998</v>
      </c>
      <c r="L58" s="15">
        <f t="shared" si="3"/>
        <v>-8.1159402345910764E-2</v>
      </c>
    </row>
    <row r="59" spans="1:12" x14ac:dyDescent="0.2">
      <c r="A59" s="16">
        <v>41913</v>
      </c>
      <c r="B59" s="15">
        <v>54628</v>
      </c>
      <c r="C59" s="15">
        <f t="shared" si="0"/>
        <v>9.4351600690683584E-3</v>
      </c>
      <c r="D59" s="16">
        <v>41913</v>
      </c>
      <c r="E59" s="15">
        <v>2.4441999999999999</v>
      </c>
      <c r="F59" s="15">
        <f t="shared" si="1"/>
        <v>-2.7782335242124293E-3</v>
      </c>
      <c r="G59" s="16">
        <v>41913</v>
      </c>
      <c r="H59" s="15">
        <v>14.479548555999999</v>
      </c>
      <c r="I59" s="15">
        <f t="shared" si="2"/>
        <v>-0.16881451570593789</v>
      </c>
      <c r="J59" s="16">
        <v>41913</v>
      </c>
      <c r="K59" s="15">
        <v>21.700857637999999</v>
      </c>
      <c r="L59" s="15">
        <f t="shared" si="3"/>
        <v>-3.4529098939728976E-2</v>
      </c>
    </row>
    <row r="60" spans="1:12" x14ac:dyDescent="0.2">
      <c r="A60" s="16">
        <v>41944</v>
      </c>
      <c r="B60" s="15">
        <v>54724</v>
      </c>
      <c r="C60" s="15">
        <f t="shared" si="0"/>
        <v>1.7557982416895564E-3</v>
      </c>
      <c r="D60" s="16">
        <v>41944</v>
      </c>
      <c r="E60" s="15">
        <v>2.5600999999999998</v>
      </c>
      <c r="F60" s="15">
        <f t="shared" si="1"/>
        <v>4.6328449206788455E-2</v>
      </c>
      <c r="G60" s="16">
        <v>41944</v>
      </c>
      <c r="H60" s="15">
        <v>12.129464758999999</v>
      </c>
      <c r="I60" s="15">
        <f t="shared" si="2"/>
        <v>-0.17709961280891814</v>
      </c>
      <c r="J60" s="16">
        <v>41944</v>
      </c>
      <c r="K60" s="15">
        <v>20.225199318000001</v>
      </c>
      <c r="L60" s="15">
        <f t="shared" si="3"/>
        <v>-7.0422464327002859E-2</v>
      </c>
    </row>
    <row r="61" spans="1:12" x14ac:dyDescent="0.2">
      <c r="A61" s="16">
        <v>41974</v>
      </c>
      <c r="B61" s="15">
        <v>50007</v>
      </c>
      <c r="C61" s="15">
        <f t="shared" si="0"/>
        <v>-9.0139374428806998E-2</v>
      </c>
      <c r="D61" s="16">
        <v>41974</v>
      </c>
      <c r="E61" s="15">
        <v>2.6562000000000001</v>
      </c>
      <c r="F61" s="15">
        <f t="shared" si="1"/>
        <v>3.6850209755461806E-2</v>
      </c>
      <c r="G61" s="16">
        <v>41974</v>
      </c>
      <c r="H61" s="15">
        <v>9.4950966318999992</v>
      </c>
      <c r="I61" s="15">
        <f t="shared" si="2"/>
        <v>-0.24486207524301704</v>
      </c>
      <c r="J61" s="16">
        <v>41974</v>
      </c>
      <c r="K61" s="15">
        <v>19.018631633999998</v>
      </c>
      <c r="L61" s="15">
        <f t="shared" si="3"/>
        <v>-6.1510206930836274E-2</v>
      </c>
    </row>
    <row r="62" spans="1:12" x14ac:dyDescent="0.2">
      <c r="A62" s="16">
        <v>42005</v>
      </c>
      <c r="B62" s="15">
        <v>46907</v>
      </c>
      <c r="C62" s="15">
        <f t="shared" si="0"/>
        <v>-6.3996077582713695E-2</v>
      </c>
      <c r="D62" s="16">
        <v>42005</v>
      </c>
      <c r="E62" s="15">
        <v>2.6623000000000001</v>
      </c>
      <c r="F62" s="15">
        <f t="shared" si="1"/>
        <v>2.2938808591870968E-3</v>
      </c>
      <c r="G62" s="16">
        <v>42005</v>
      </c>
      <c r="H62" s="15">
        <v>7.7514860727999997</v>
      </c>
      <c r="I62" s="15">
        <f t="shared" si="2"/>
        <v>-0.20289094503544519</v>
      </c>
      <c r="J62" s="16">
        <v>42005</v>
      </c>
      <c r="K62" s="15">
        <v>16.154118425</v>
      </c>
      <c r="L62" s="15">
        <f t="shared" si="3"/>
        <v>-0.16324408300121857</v>
      </c>
    </row>
    <row r="63" spans="1:12" x14ac:dyDescent="0.2">
      <c r="A63" s="16">
        <v>42036</v>
      </c>
      <c r="B63" s="15">
        <v>51583</v>
      </c>
      <c r="C63" s="15">
        <f t="shared" si="0"/>
        <v>9.502524279382861E-2</v>
      </c>
      <c r="D63" s="16">
        <v>42036</v>
      </c>
      <c r="E63" s="15">
        <v>2.8782000000000001</v>
      </c>
      <c r="F63" s="15">
        <f t="shared" si="1"/>
        <v>7.7974687910735765E-2</v>
      </c>
      <c r="G63" s="16">
        <v>42036</v>
      </c>
      <c r="H63" s="15">
        <v>9.0686701364999998</v>
      </c>
      <c r="I63" s="15">
        <f t="shared" si="2"/>
        <v>0.15694105484850862</v>
      </c>
      <c r="J63" s="16">
        <v>42036</v>
      </c>
      <c r="K63" s="15">
        <v>18.445728991999999</v>
      </c>
      <c r="L63" s="15">
        <f t="shared" si="3"/>
        <v>0.13265782474501886</v>
      </c>
    </row>
    <row r="64" spans="1:12" x14ac:dyDescent="0.2">
      <c r="A64" s="16">
        <v>42064</v>
      </c>
      <c r="B64" s="15">
        <v>51150</v>
      </c>
      <c r="C64" s="15">
        <f t="shared" si="0"/>
        <v>-8.4296684425401013E-3</v>
      </c>
      <c r="D64" s="16">
        <v>42064</v>
      </c>
      <c r="E64" s="15">
        <v>3.2080000000000002</v>
      </c>
      <c r="F64" s="15">
        <f t="shared" si="1"/>
        <v>0.10848259125033193</v>
      </c>
      <c r="G64" s="16">
        <v>42064</v>
      </c>
      <c r="H64" s="15">
        <v>9.2202884459999996</v>
      </c>
      <c r="I64" s="15">
        <f t="shared" si="2"/>
        <v>1.6580690733900727E-2</v>
      </c>
      <c r="J64" s="16">
        <v>42064</v>
      </c>
      <c r="K64" s="15">
        <v>15.572535439999999</v>
      </c>
      <c r="L64" s="15">
        <f t="shared" si="3"/>
        <v>-0.16932403878957694</v>
      </c>
    </row>
    <row r="65" spans="1:12" x14ac:dyDescent="0.2">
      <c r="A65" s="16">
        <v>42095</v>
      </c>
      <c r="B65" s="15">
        <v>56229</v>
      </c>
      <c r="C65" s="15">
        <f t="shared" si="0"/>
        <v>9.4670145647322207E-2</v>
      </c>
      <c r="D65" s="16">
        <v>42095</v>
      </c>
      <c r="E65" s="15">
        <v>2.9935999999999998</v>
      </c>
      <c r="F65" s="15">
        <f t="shared" si="1"/>
        <v>-6.9171013466580028E-2</v>
      </c>
      <c r="G65" s="16">
        <v>42095</v>
      </c>
      <c r="H65" s="15">
        <v>12.366368367</v>
      </c>
      <c r="I65" s="15">
        <f t="shared" si="2"/>
        <v>0.29357423749274991</v>
      </c>
      <c r="J65" s="16">
        <v>42095</v>
      </c>
      <c r="K65" s="15">
        <v>20.312897518</v>
      </c>
      <c r="L65" s="15">
        <f t="shared" si="3"/>
        <v>0.26574721606510271</v>
      </c>
    </row>
    <row r="66" spans="1:12" x14ac:dyDescent="0.2">
      <c r="A66" s="16">
        <v>42125</v>
      </c>
      <c r="B66" s="15">
        <v>52760</v>
      </c>
      <c r="C66" s="15">
        <f t="shared" si="0"/>
        <v>-6.3679310195843816E-2</v>
      </c>
      <c r="D66" s="16">
        <v>42125</v>
      </c>
      <c r="E66" s="15">
        <v>3.1787999999999998</v>
      </c>
      <c r="F66" s="15">
        <f t="shared" si="1"/>
        <v>6.0027090546199174E-2</v>
      </c>
      <c r="G66" s="16">
        <v>42125</v>
      </c>
      <c r="H66" s="15">
        <v>11.684085975</v>
      </c>
      <c r="I66" s="15">
        <f t="shared" si="2"/>
        <v>-5.6752816535785233E-2</v>
      </c>
      <c r="J66" s="16">
        <v>42125</v>
      </c>
      <c r="K66" s="15">
        <v>17.981174182</v>
      </c>
      <c r="L66" s="15">
        <f t="shared" si="3"/>
        <v>-0.12193069820985761</v>
      </c>
    </row>
    <row r="67" spans="1:12" x14ac:dyDescent="0.2">
      <c r="A67" s="16">
        <v>42156</v>
      </c>
      <c r="B67" s="15">
        <v>53080</v>
      </c>
      <c r="C67" s="15">
        <f t="shared" si="0"/>
        <v>6.046881614892907E-3</v>
      </c>
      <c r="D67" s="16">
        <v>42156</v>
      </c>
      <c r="E67" s="15">
        <v>3.1025999999999998</v>
      </c>
      <c r="F67" s="15">
        <f t="shared" si="1"/>
        <v>-2.4263297435793502E-2</v>
      </c>
      <c r="G67" s="16">
        <v>42156</v>
      </c>
      <c r="H67" s="15">
        <v>12.044179460000001</v>
      </c>
      <c r="I67" s="15">
        <f t="shared" si="2"/>
        <v>3.0353768022079456E-2</v>
      </c>
      <c r="J67" s="16">
        <v>42156</v>
      </c>
      <c r="K67" s="15">
        <v>16.402776847999998</v>
      </c>
      <c r="L67" s="15">
        <f t="shared" si="3"/>
        <v>-9.1874691308390155E-2</v>
      </c>
    </row>
    <row r="68" spans="1:12" x14ac:dyDescent="0.2">
      <c r="A68" s="16">
        <v>42186</v>
      </c>
      <c r="B68" s="15">
        <v>50864</v>
      </c>
      <c r="C68" s="15">
        <f t="shared" ref="C68:C118" si="4">LN(B68/B67)</f>
        <v>-4.2644805295559904E-2</v>
      </c>
      <c r="D68" s="16">
        <v>42186</v>
      </c>
      <c r="E68" s="15">
        <v>3.3940000000000001</v>
      </c>
      <c r="F68" s="15">
        <f t="shared" ref="F68:F118" si="5">LN(E68/E67)</f>
        <v>8.9768697163940966E-2</v>
      </c>
      <c r="G68" s="16">
        <v>42186</v>
      </c>
      <c r="H68" s="15">
        <v>9.9499515604000006</v>
      </c>
      <c r="I68" s="15">
        <f t="shared" ref="I68:I118" si="6">LN(H68/H67)</f>
        <v>-0.19101382801666156</v>
      </c>
      <c r="J68" s="16">
        <v>42186</v>
      </c>
      <c r="K68" s="15">
        <v>16.026113847000001</v>
      </c>
      <c r="L68" s="15">
        <f t="shared" ref="L68:L118" si="7">LN(K68/K67)</f>
        <v>-2.3231133272820177E-2</v>
      </c>
    </row>
    <row r="69" spans="1:12" x14ac:dyDescent="0.2">
      <c r="A69" s="16">
        <v>42217</v>
      </c>
      <c r="B69" s="15">
        <v>46625</v>
      </c>
      <c r="C69" s="15">
        <f t="shared" si="4"/>
        <v>-8.7018526204467289E-2</v>
      </c>
      <c r="D69" s="16">
        <v>42217</v>
      </c>
      <c r="E69" s="15">
        <v>3.6467000000000001</v>
      </c>
      <c r="F69" s="15">
        <f t="shared" si="5"/>
        <v>7.1813482239738741E-2</v>
      </c>
      <c r="G69" s="16">
        <v>42217</v>
      </c>
      <c r="H69" s="15">
        <v>8.7085766513999996</v>
      </c>
      <c r="I69" s="15">
        <f t="shared" si="6"/>
        <v>-0.13325932079999414</v>
      </c>
      <c r="J69" s="16">
        <v>42217</v>
      </c>
      <c r="K69" s="15">
        <v>16.070954681</v>
      </c>
      <c r="L69" s="15">
        <f t="shared" si="7"/>
        <v>2.7940784145509094E-3</v>
      </c>
    </row>
    <row r="70" spans="1:12" x14ac:dyDescent="0.2">
      <c r="A70" s="16">
        <v>42248</v>
      </c>
      <c r="B70" s="15">
        <v>45059</v>
      </c>
      <c r="C70" s="15">
        <f t="shared" si="4"/>
        <v>-3.4164135838187462E-2</v>
      </c>
      <c r="D70" s="16">
        <v>42248</v>
      </c>
      <c r="E70" s="15">
        <v>3.9729000000000001</v>
      </c>
      <c r="F70" s="15">
        <f t="shared" si="5"/>
        <v>8.5673657567118019E-2</v>
      </c>
      <c r="G70" s="16">
        <v>42248</v>
      </c>
      <c r="H70" s="15">
        <v>6.8607285044999999</v>
      </c>
      <c r="I70" s="15">
        <f t="shared" si="6"/>
        <v>-0.23849472996649715</v>
      </c>
      <c r="J70" s="16">
        <v>42248</v>
      </c>
      <c r="K70" s="15">
        <v>14.869220346000001</v>
      </c>
      <c r="L70" s="15">
        <f t="shared" si="7"/>
        <v>-7.7720257879641985E-2</v>
      </c>
    </row>
    <row r="71" spans="1:12" x14ac:dyDescent="0.2">
      <c r="A71" s="16">
        <v>42278</v>
      </c>
      <c r="B71" s="15">
        <v>45868</v>
      </c>
      <c r="C71" s="15">
        <f t="shared" si="4"/>
        <v>1.7794964050265868E-2</v>
      </c>
      <c r="D71" s="16">
        <v>42278</v>
      </c>
      <c r="E71" s="15">
        <v>3.8589000000000002</v>
      </c>
      <c r="F71" s="15">
        <f t="shared" si="5"/>
        <v>-2.9114137848248883E-2</v>
      </c>
      <c r="G71" s="16">
        <v>42278</v>
      </c>
      <c r="H71" s="15">
        <v>7.3061072885999998</v>
      </c>
      <c r="I71" s="15">
        <f t="shared" si="6"/>
        <v>6.2896981173246089E-2</v>
      </c>
      <c r="J71" s="16">
        <v>42278</v>
      </c>
      <c r="K71" s="15">
        <v>15.607069787</v>
      </c>
      <c r="L71" s="15">
        <f t="shared" si="7"/>
        <v>4.8430675310381338E-2</v>
      </c>
    </row>
    <row r="72" spans="1:12" x14ac:dyDescent="0.2">
      <c r="A72" s="16">
        <v>42309</v>
      </c>
      <c r="B72" s="15">
        <v>45120</v>
      </c>
      <c r="C72" s="15">
        <f t="shared" si="4"/>
        <v>-1.6442098986254511E-2</v>
      </c>
      <c r="D72" s="16">
        <v>42309</v>
      </c>
      <c r="E72" s="15">
        <v>3.8506</v>
      </c>
      <c r="F72" s="15">
        <f t="shared" si="5"/>
        <v>-2.1531884575443816E-3</v>
      </c>
      <c r="G72" s="16">
        <v>42309</v>
      </c>
      <c r="H72" s="15">
        <v>7.2682027112999998</v>
      </c>
      <c r="I72" s="15">
        <f t="shared" si="6"/>
        <v>-5.2015721860622019E-3</v>
      </c>
      <c r="J72" s="16">
        <v>42309</v>
      </c>
      <c r="K72" s="15">
        <v>12.048365129</v>
      </c>
      <c r="L72" s="15">
        <f t="shared" si="7"/>
        <v>-0.25879502627939588</v>
      </c>
    </row>
    <row r="73" spans="1:12" x14ac:dyDescent="0.2">
      <c r="A73" s="16">
        <v>42339</v>
      </c>
      <c r="B73" s="15">
        <v>43349</v>
      </c>
      <c r="C73" s="15">
        <f t="shared" si="4"/>
        <v>-4.0041972280073862E-2</v>
      </c>
      <c r="D73" s="16">
        <v>42339</v>
      </c>
      <c r="E73" s="15">
        <v>3.9047999999999998</v>
      </c>
      <c r="F73" s="15">
        <f t="shared" si="5"/>
        <v>1.3977585277702431E-2</v>
      </c>
      <c r="G73" s="16">
        <v>42339</v>
      </c>
      <c r="H73" s="15">
        <v>6.3490167099999999</v>
      </c>
      <c r="I73" s="15">
        <f t="shared" si="6"/>
        <v>-0.13520908898244977</v>
      </c>
      <c r="J73" s="16">
        <v>42339</v>
      </c>
      <c r="K73" s="15">
        <v>11.920288354</v>
      </c>
      <c r="L73" s="15">
        <f t="shared" si="7"/>
        <v>-1.0687124673789712E-2</v>
      </c>
    </row>
    <row r="74" spans="1:12" x14ac:dyDescent="0.2">
      <c r="A74" s="16">
        <v>42370</v>
      </c>
      <c r="B74" s="15">
        <v>40405</v>
      </c>
      <c r="C74" s="15">
        <f t="shared" si="4"/>
        <v>-7.033009522431867E-2</v>
      </c>
      <c r="D74" s="16">
        <v>42370</v>
      </c>
      <c r="E74" s="15">
        <v>4.0427999999999997</v>
      </c>
      <c r="F74" s="15">
        <f t="shared" si="5"/>
        <v>3.4730955627569685E-2</v>
      </c>
      <c r="G74" s="16">
        <v>42370</v>
      </c>
      <c r="H74" s="15">
        <v>4.5864538620999999</v>
      </c>
      <c r="I74" s="15">
        <f t="shared" si="6"/>
        <v>-0.32519280567911896</v>
      </c>
      <c r="J74" s="16">
        <v>42370</v>
      </c>
      <c r="K74" s="15">
        <v>8.8921874758000001</v>
      </c>
      <c r="L74" s="15">
        <f t="shared" si="7"/>
        <v>-0.29306877258850744</v>
      </c>
    </row>
    <row r="75" spans="1:12" x14ac:dyDescent="0.2">
      <c r="A75" s="16">
        <v>42401</v>
      </c>
      <c r="B75" s="15">
        <v>42793</v>
      </c>
      <c r="C75" s="15">
        <f t="shared" si="4"/>
        <v>5.7420998124481905E-2</v>
      </c>
      <c r="D75" s="16">
        <v>42401</v>
      </c>
      <c r="E75" s="15">
        <v>3.9796</v>
      </c>
      <c r="F75" s="15">
        <f t="shared" si="5"/>
        <v>-1.5756209485302805E-2</v>
      </c>
      <c r="G75" s="16">
        <v>42401</v>
      </c>
      <c r="H75" s="15">
        <v>4.8707381924000002</v>
      </c>
      <c r="I75" s="15">
        <f t="shared" si="6"/>
        <v>6.0138358739466664E-2</v>
      </c>
      <c r="J75" s="16">
        <v>42401</v>
      </c>
      <c r="K75" s="15">
        <v>10.804190749</v>
      </c>
      <c r="L75" s="15">
        <f t="shared" si="7"/>
        <v>0.19476101165200346</v>
      </c>
    </row>
    <row r="76" spans="1:12" x14ac:dyDescent="0.2">
      <c r="A76" s="16">
        <v>42430</v>
      </c>
      <c r="B76" s="15">
        <v>50055</v>
      </c>
      <c r="C76" s="15">
        <f t="shared" si="4"/>
        <v>0.15674786306155405</v>
      </c>
      <c r="D76" s="16">
        <v>42430</v>
      </c>
      <c r="E76" s="15">
        <v>3.5589</v>
      </c>
      <c r="F76" s="15">
        <f t="shared" si="5"/>
        <v>-0.11172980338003734</v>
      </c>
      <c r="G76" s="16">
        <v>42430</v>
      </c>
      <c r="H76" s="15">
        <v>7.9125805266000002</v>
      </c>
      <c r="I76" s="15">
        <f t="shared" si="6"/>
        <v>0.48520845940021445</v>
      </c>
      <c r="J76" s="16">
        <v>42430</v>
      </c>
      <c r="K76" s="15">
        <v>13.859736652</v>
      </c>
      <c r="L76" s="15">
        <f t="shared" si="7"/>
        <v>0.2490539018241236</v>
      </c>
    </row>
    <row r="77" spans="1:12" x14ac:dyDescent="0.2">
      <c r="A77" s="16">
        <v>42461</v>
      </c>
      <c r="B77" s="15">
        <v>53910</v>
      </c>
      <c r="C77" s="15">
        <f t="shared" si="4"/>
        <v>7.4193588592130391E-2</v>
      </c>
      <c r="D77" s="16">
        <v>42461</v>
      </c>
      <c r="E77" s="15">
        <v>3.4508000000000001</v>
      </c>
      <c r="F77" s="15">
        <f t="shared" si="5"/>
        <v>-3.0845420132743488E-2</v>
      </c>
      <c r="G77" s="16">
        <v>42461</v>
      </c>
      <c r="H77" s="15">
        <v>9.6940956631000006</v>
      </c>
      <c r="I77" s="15">
        <f t="shared" si="6"/>
        <v>0.20306304109789253</v>
      </c>
      <c r="J77" s="16">
        <v>42461</v>
      </c>
      <c r="K77" s="15">
        <v>18.013083476999999</v>
      </c>
      <c r="L77" s="15">
        <f t="shared" si="7"/>
        <v>0.26211036069078236</v>
      </c>
    </row>
    <row r="78" spans="1:12" x14ac:dyDescent="0.2">
      <c r="A78" s="16">
        <v>42491</v>
      </c>
      <c r="B78" s="15">
        <v>48471</v>
      </c>
      <c r="C78" s="15">
        <f t="shared" si="4"/>
        <v>-0.10635030850077418</v>
      </c>
      <c r="D78" s="16">
        <v>42491</v>
      </c>
      <c r="E78" s="15">
        <v>3.5951</v>
      </c>
      <c r="F78" s="15">
        <f t="shared" si="5"/>
        <v>4.096571897753698E-2</v>
      </c>
      <c r="G78" s="16">
        <v>42491</v>
      </c>
      <c r="H78" s="15">
        <v>7.6188200519000002</v>
      </c>
      <c r="I78" s="15">
        <f t="shared" si="6"/>
        <v>-0.24089549677762542</v>
      </c>
      <c r="J78" s="16">
        <v>42491</v>
      </c>
      <c r="K78" s="15">
        <v>13.008940936</v>
      </c>
      <c r="L78" s="15">
        <f t="shared" si="7"/>
        <v>-0.325461468327082</v>
      </c>
    </row>
    <row r="79" spans="1:12" x14ac:dyDescent="0.2">
      <c r="A79" s="16">
        <v>42522</v>
      </c>
      <c r="B79" s="15">
        <v>51526</v>
      </c>
      <c r="C79" s="15">
        <f t="shared" si="4"/>
        <v>6.1120853679728339E-2</v>
      </c>
      <c r="D79" s="16">
        <v>42522</v>
      </c>
      <c r="E79" s="15">
        <v>3.2098</v>
      </c>
      <c r="F79" s="15">
        <f t="shared" si="5"/>
        <v>-0.11336317729290493</v>
      </c>
      <c r="G79" s="16">
        <v>42522</v>
      </c>
      <c r="H79" s="15">
        <v>8.9265279713000005</v>
      </c>
      <c r="I79" s="15">
        <f t="shared" si="6"/>
        <v>0.15840600540232916</v>
      </c>
      <c r="J79" s="16">
        <v>42522</v>
      </c>
      <c r="K79" s="15">
        <v>14.884350846</v>
      </c>
      <c r="L79" s="15">
        <f t="shared" si="7"/>
        <v>0.13467349686246605</v>
      </c>
    </row>
    <row r="80" spans="1:12" x14ac:dyDescent="0.2">
      <c r="A80" s="16">
        <v>42552</v>
      </c>
      <c r="B80" s="15">
        <v>57308</v>
      </c>
      <c r="C80" s="15">
        <f t="shared" si="4"/>
        <v>0.10635369538859445</v>
      </c>
      <c r="D80" s="16">
        <v>42552</v>
      </c>
      <c r="E80" s="15">
        <v>3.2389999999999999</v>
      </c>
      <c r="F80" s="15">
        <f t="shared" si="5"/>
        <v>9.056010284273391E-3</v>
      </c>
      <c r="G80" s="16">
        <v>42552</v>
      </c>
      <c r="H80" s="15">
        <v>11.248183335</v>
      </c>
      <c r="I80" s="15">
        <f t="shared" si="6"/>
        <v>0.23117911999903668</v>
      </c>
      <c r="J80" s="16">
        <v>42552</v>
      </c>
      <c r="K80" s="15">
        <v>16.924430895</v>
      </c>
      <c r="L80" s="15">
        <f t="shared" si="7"/>
        <v>0.12844781089200924</v>
      </c>
    </row>
    <row r="81" spans="1:12" x14ac:dyDescent="0.2">
      <c r="A81" s="16">
        <v>42583</v>
      </c>
      <c r="B81" s="15">
        <v>57901</v>
      </c>
      <c r="C81" s="15">
        <f t="shared" si="4"/>
        <v>1.0294425555846446E-2</v>
      </c>
      <c r="D81" s="16">
        <v>42583</v>
      </c>
      <c r="E81" s="15">
        <v>3.2403</v>
      </c>
      <c r="F81" s="15">
        <f t="shared" si="5"/>
        <v>4.0127792120882891E-4</v>
      </c>
      <c r="G81" s="16">
        <v>42583</v>
      </c>
      <c r="H81" s="15">
        <v>12.176845481000001</v>
      </c>
      <c r="I81" s="15">
        <f t="shared" si="6"/>
        <v>7.9329602752307798E-2</v>
      </c>
      <c r="J81" s="16">
        <v>42583</v>
      </c>
      <c r="K81" s="15">
        <v>15.497289694999999</v>
      </c>
      <c r="L81" s="15">
        <f t="shared" si="7"/>
        <v>-8.8093042873625113E-2</v>
      </c>
    </row>
    <row r="82" spans="1:12" x14ac:dyDescent="0.2">
      <c r="A82" s="16">
        <v>42614</v>
      </c>
      <c r="B82" s="15">
        <v>58367</v>
      </c>
      <c r="C82" s="15">
        <f t="shared" si="4"/>
        <v>8.0160060426891725E-3</v>
      </c>
      <c r="D82" s="16">
        <v>42614</v>
      </c>
      <c r="E82" s="15">
        <v>3.2462</v>
      </c>
      <c r="F82" s="15">
        <f t="shared" si="5"/>
        <v>1.8191633784319992E-3</v>
      </c>
      <c r="G82" s="16">
        <v>42614</v>
      </c>
      <c r="H82" s="15">
        <v>12.859127873</v>
      </c>
      <c r="I82" s="15">
        <f t="shared" si="6"/>
        <v>5.4517662450356344E-2</v>
      </c>
      <c r="J82" s="16">
        <v>42614</v>
      </c>
      <c r="K82" s="15">
        <v>16.293195364999999</v>
      </c>
      <c r="L82" s="15">
        <f t="shared" si="7"/>
        <v>5.0082408132551846E-2</v>
      </c>
    </row>
    <row r="83" spans="1:12" x14ac:dyDescent="0.2">
      <c r="A83" s="16">
        <v>42644</v>
      </c>
      <c r="B83" s="15">
        <v>64924</v>
      </c>
      <c r="C83" s="15">
        <f t="shared" si="4"/>
        <v>0.10646669341316241</v>
      </c>
      <c r="D83" s="16">
        <v>42644</v>
      </c>
      <c r="E83" s="15">
        <v>3.1810999999999998</v>
      </c>
      <c r="F83" s="15">
        <f t="shared" si="5"/>
        <v>-2.0258032560807555E-2</v>
      </c>
      <c r="G83" s="16">
        <v>42644</v>
      </c>
      <c r="H83" s="15">
        <v>16.763299343</v>
      </c>
      <c r="I83" s="15">
        <f t="shared" si="6"/>
        <v>0.26513803437388783</v>
      </c>
      <c r="J83" s="16">
        <v>42644</v>
      </c>
      <c r="K83" s="15">
        <v>20.199536982000001</v>
      </c>
      <c r="L83" s="15">
        <f t="shared" si="7"/>
        <v>0.21491212408013907</v>
      </c>
    </row>
    <row r="84" spans="1:12" x14ac:dyDescent="0.2">
      <c r="A84" s="16">
        <v>42675</v>
      </c>
      <c r="B84" s="15">
        <v>61906</v>
      </c>
      <c r="C84" s="15">
        <f t="shared" si="4"/>
        <v>-4.7600249516616358E-2</v>
      </c>
      <c r="D84" s="16">
        <v>42675</v>
      </c>
      <c r="E84" s="15">
        <v>3.3967000000000001</v>
      </c>
      <c r="F84" s="15">
        <f t="shared" si="5"/>
        <v>6.5577323133034562E-2</v>
      </c>
      <c r="G84" s="16">
        <v>42675</v>
      </c>
      <c r="H84" s="15">
        <v>15.161830949000001</v>
      </c>
      <c r="I84" s="15">
        <f t="shared" si="6"/>
        <v>-0.10041078593262108</v>
      </c>
      <c r="J84" s="16">
        <v>42675</v>
      </c>
      <c r="K84" s="15">
        <v>25.670244915000001</v>
      </c>
      <c r="L84" s="15">
        <f t="shared" si="7"/>
        <v>0.23967285328002874</v>
      </c>
    </row>
    <row r="85" spans="1:12" x14ac:dyDescent="0.2">
      <c r="A85" s="16">
        <v>42705</v>
      </c>
      <c r="B85" s="15">
        <v>60227</v>
      </c>
      <c r="C85" s="15">
        <f t="shared" si="4"/>
        <v>-2.7496348776340683E-2</v>
      </c>
      <c r="D85" s="16">
        <v>42705</v>
      </c>
      <c r="E85" s="15">
        <v>3.2591000000000001</v>
      </c>
      <c r="F85" s="15">
        <f t="shared" si="5"/>
        <v>-4.1353288417412801E-2</v>
      </c>
      <c r="G85" s="16">
        <v>42705</v>
      </c>
      <c r="H85" s="15">
        <v>14.091026638000001</v>
      </c>
      <c r="I85" s="15">
        <f t="shared" si="6"/>
        <v>-7.3242961783818158E-2</v>
      </c>
      <c r="J85" s="16">
        <v>42705</v>
      </c>
      <c r="K85" s="15">
        <v>23.630968792000001</v>
      </c>
      <c r="L85" s="15">
        <f t="shared" si="7"/>
        <v>-8.2774446991033507E-2</v>
      </c>
    </row>
    <row r="86" spans="1:12" x14ac:dyDescent="0.2">
      <c r="A86" s="16">
        <v>42736</v>
      </c>
      <c r="B86" s="15">
        <v>64670</v>
      </c>
      <c r="C86" s="15">
        <f t="shared" si="4"/>
        <v>7.1176658708634363E-2</v>
      </c>
      <c r="D86" s="16">
        <v>42736</v>
      </c>
      <c r="E86" s="15">
        <v>3.1269999999999998</v>
      </c>
      <c r="F86" s="15">
        <f t="shared" si="5"/>
        <v>-4.137700516794332E-2</v>
      </c>
      <c r="G86" s="16">
        <v>42736</v>
      </c>
      <c r="H86" s="15">
        <v>14.233168803</v>
      </c>
      <c r="I86" s="15">
        <f t="shared" si="6"/>
        <v>1.0036885853766551E-2</v>
      </c>
      <c r="J86" s="16">
        <v>42736</v>
      </c>
      <c r="K86" s="15">
        <v>29.612327715999999</v>
      </c>
      <c r="L86" s="15">
        <f t="shared" si="7"/>
        <v>0.22563266276919786</v>
      </c>
    </row>
    <row r="87" spans="1:12" x14ac:dyDescent="0.2">
      <c r="A87" s="16">
        <v>42767</v>
      </c>
      <c r="B87" s="15">
        <v>66662</v>
      </c>
      <c r="C87" s="15">
        <f t="shared" si="4"/>
        <v>3.0337659971311139E-2</v>
      </c>
      <c r="D87" s="16">
        <v>42767</v>
      </c>
      <c r="E87" s="15">
        <v>3.0992999999999999</v>
      </c>
      <c r="F87" s="15">
        <f t="shared" si="5"/>
        <v>-8.8977989343317857E-3</v>
      </c>
      <c r="G87" s="16">
        <v>42767</v>
      </c>
      <c r="H87" s="15">
        <v>14.384787113</v>
      </c>
      <c r="I87" s="15">
        <f t="shared" si="6"/>
        <v>1.0596125667225969E-2</v>
      </c>
      <c r="J87" s="16">
        <v>42767</v>
      </c>
      <c r="K87" s="15">
        <v>30.109240611000001</v>
      </c>
      <c r="L87" s="15">
        <f t="shared" si="7"/>
        <v>1.6641370164591392E-2</v>
      </c>
    </row>
    <row r="88" spans="1:12" x14ac:dyDescent="0.2">
      <c r="A88" s="16">
        <v>42795</v>
      </c>
      <c r="B88" s="15">
        <v>64984</v>
      </c>
      <c r="C88" s="15">
        <f t="shared" si="4"/>
        <v>-2.5493989681159873E-2</v>
      </c>
      <c r="D88" s="16">
        <v>42795</v>
      </c>
      <c r="E88" s="15">
        <v>3.1684000000000001</v>
      </c>
      <c r="F88" s="15">
        <f t="shared" si="5"/>
        <v>2.2050449066615199E-2</v>
      </c>
      <c r="G88" s="16">
        <v>42795</v>
      </c>
      <c r="H88" s="15">
        <v>13.730933153000001</v>
      </c>
      <c r="I88" s="15">
        <f t="shared" si="6"/>
        <v>-4.6520015658065419E-2</v>
      </c>
      <c r="J88" s="16">
        <v>42795</v>
      </c>
      <c r="K88" s="15">
        <v>27.413028050000001</v>
      </c>
      <c r="L88" s="15">
        <f t="shared" si="7"/>
        <v>-9.3813745015699085E-2</v>
      </c>
    </row>
    <row r="89" spans="1:12" x14ac:dyDescent="0.2">
      <c r="A89" s="16">
        <v>42826</v>
      </c>
      <c r="B89" s="15">
        <v>65403</v>
      </c>
      <c r="C89" s="15">
        <f t="shared" si="4"/>
        <v>6.4270432220655841E-3</v>
      </c>
      <c r="D89" s="16">
        <v>42826</v>
      </c>
      <c r="E89" s="15">
        <v>3.1983999999999999</v>
      </c>
      <c r="F89" s="15">
        <f t="shared" si="5"/>
        <v>9.4239561560108698E-3</v>
      </c>
      <c r="G89" s="16">
        <v>42826</v>
      </c>
      <c r="H89" s="15">
        <v>13.238173647</v>
      </c>
      <c r="I89" s="15">
        <f t="shared" si="6"/>
        <v>-3.6546583076128E-2</v>
      </c>
      <c r="J89" s="16">
        <v>42826</v>
      </c>
      <c r="K89" s="15">
        <v>26.121453122999998</v>
      </c>
      <c r="L89" s="15">
        <f t="shared" si="7"/>
        <v>-4.8261441227176606E-2</v>
      </c>
    </row>
    <row r="90" spans="1:12" x14ac:dyDescent="0.2">
      <c r="A90" s="16">
        <v>42856</v>
      </c>
      <c r="B90" s="15">
        <v>62711</v>
      </c>
      <c r="C90" s="15">
        <f t="shared" si="4"/>
        <v>-4.2031258122902912E-2</v>
      </c>
      <c r="D90" s="16">
        <v>42856</v>
      </c>
      <c r="E90" s="15">
        <v>3.2437</v>
      </c>
      <c r="F90" s="15">
        <f t="shared" si="5"/>
        <v>1.4063968791073456E-2</v>
      </c>
      <c r="G90" s="16">
        <v>42856</v>
      </c>
      <c r="H90" s="15">
        <v>12.281083067999999</v>
      </c>
      <c r="I90" s="15">
        <f t="shared" si="6"/>
        <v>-7.5044482374817659E-2</v>
      </c>
      <c r="J90" s="16">
        <v>42856</v>
      </c>
      <c r="K90" s="15">
        <v>25.83618061</v>
      </c>
      <c r="L90" s="15">
        <f t="shared" si="7"/>
        <v>-1.0981076662176884E-2</v>
      </c>
    </row>
    <row r="91" spans="1:12" x14ac:dyDescent="0.2">
      <c r="A91" s="16">
        <v>42887</v>
      </c>
      <c r="B91" s="15">
        <v>62899</v>
      </c>
      <c r="C91" s="15">
        <f t="shared" si="4"/>
        <v>2.9933944810086755E-3</v>
      </c>
      <c r="D91" s="16">
        <v>42887</v>
      </c>
      <c r="E91" s="15">
        <v>3.3081999999999998</v>
      </c>
      <c r="F91" s="15">
        <f t="shared" si="5"/>
        <v>1.968958127091169E-2</v>
      </c>
      <c r="G91" s="16">
        <v>42887</v>
      </c>
      <c r="H91" s="15">
        <v>11.721990551999999</v>
      </c>
      <c r="I91" s="15">
        <f t="shared" si="6"/>
        <v>-4.6593504501564256E-2</v>
      </c>
      <c r="J91" s="16">
        <v>42887</v>
      </c>
      <c r="K91" s="15">
        <v>27.57634294</v>
      </c>
      <c r="L91" s="15">
        <f t="shared" si="7"/>
        <v>6.5182406534604095E-2</v>
      </c>
    </row>
    <row r="92" spans="1:12" x14ac:dyDescent="0.2">
      <c r="A92" s="16">
        <v>42917</v>
      </c>
      <c r="B92" s="15">
        <v>65920</v>
      </c>
      <c r="C92" s="15">
        <f t="shared" si="4"/>
        <v>4.6911620272392415E-2</v>
      </c>
      <c r="D92" s="16">
        <v>42917</v>
      </c>
      <c r="E92" s="15">
        <v>3.1307</v>
      </c>
      <c r="F92" s="15">
        <f t="shared" si="5"/>
        <v>-5.5147613105580522E-2</v>
      </c>
      <c r="G92" s="16">
        <v>42917</v>
      </c>
      <c r="H92" s="15">
        <v>12.593795832</v>
      </c>
      <c r="I92" s="15">
        <f t="shared" si="6"/>
        <v>7.1737686357731409E-2</v>
      </c>
      <c r="J92" s="16">
        <v>42917</v>
      </c>
      <c r="K92" s="15">
        <v>29.763432208000001</v>
      </c>
      <c r="L92" s="15">
        <f t="shared" si="7"/>
        <v>7.6322267571219141E-2</v>
      </c>
    </row>
    <row r="93" spans="1:12" x14ac:dyDescent="0.2">
      <c r="A93" s="16">
        <v>42948</v>
      </c>
      <c r="B93" s="15">
        <v>70835.05</v>
      </c>
      <c r="C93" s="15">
        <f t="shared" si="4"/>
        <v>7.1912049095593192E-2</v>
      </c>
      <c r="D93" s="16">
        <v>42948</v>
      </c>
      <c r="E93" s="15">
        <v>3.1471</v>
      </c>
      <c r="F93" s="15">
        <f t="shared" si="5"/>
        <v>5.2247721518950503E-3</v>
      </c>
      <c r="G93" s="16">
        <v>42948</v>
      </c>
      <c r="H93" s="15">
        <v>12.934937028</v>
      </c>
      <c r="I93" s="15">
        <f t="shared" si="6"/>
        <v>2.6727648878590634E-2</v>
      </c>
      <c r="J93" s="16">
        <v>42948</v>
      </c>
      <c r="K93" s="15">
        <v>33.357865873999998</v>
      </c>
      <c r="L93" s="15">
        <f t="shared" si="7"/>
        <v>0.11401306995745324</v>
      </c>
    </row>
    <row r="94" spans="1:12" x14ac:dyDescent="0.2">
      <c r="A94" s="16">
        <v>42979</v>
      </c>
      <c r="B94" s="15">
        <v>74293.509999999995</v>
      </c>
      <c r="C94" s="15">
        <f t="shared" si="4"/>
        <v>4.7669664624983649E-2</v>
      </c>
      <c r="D94" s="16">
        <v>42979</v>
      </c>
      <c r="E94" s="15">
        <v>3.1680000000000001</v>
      </c>
      <c r="F94" s="15">
        <f t="shared" si="5"/>
        <v>6.6190800798814784E-3</v>
      </c>
      <c r="G94" s="16">
        <v>42979</v>
      </c>
      <c r="H94" s="15">
        <v>14.498500845000001</v>
      </c>
      <c r="I94" s="15">
        <f t="shared" si="6"/>
        <v>0.11411330679698073</v>
      </c>
      <c r="J94" s="16">
        <v>42979</v>
      </c>
      <c r="K94" s="15">
        <v>30.305449982999999</v>
      </c>
      <c r="L94" s="15">
        <f t="shared" si="7"/>
        <v>-9.596603907543326E-2</v>
      </c>
    </row>
    <row r="95" spans="1:12" x14ac:dyDescent="0.2">
      <c r="A95" s="16">
        <v>43009</v>
      </c>
      <c r="B95" s="15">
        <v>74308.490000000005</v>
      </c>
      <c r="C95" s="15">
        <f t="shared" si="4"/>
        <v>2.0161236121652817E-4</v>
      </c>
      <c r="D95" s="16">
        <v>43009</v>
      </c>
      <c r="E95" s="15">
        <v>3.2768999999999999</v>
      </c>
      <c r="F95" s="15">
        <f t="shared" si="5"/>
        <v>3.3797379583290495E-2</v>
      </c>
      <c r="G95" s="16">
        <v>43009</v>
      </c>
      <c r="H95" s="15">
        <v>15.891494063</v>
      </c>
      <c r="I95" s="15">
        <f t="shared" si="6"/>
        <v>9.1738747408965898E-2</v>
      </c>
      <c r="J95" s="16">
        <v>43009</v>
      </c>
      <c r="K95" s="15">
        <v>30.524158910000001</v>
      </c>
      <c r="L95" s="15">
        <f t="shared" si="7"/>
        <v>7.190901714332047E-3</v>
      </c>
    </row>
    <row r="96" spans="1:12" x14ac:dyDescent="0.2">
      <c r="A96" s="16">
        <v>43040</v>
      </c>
      <c r="B96" s="15">
        <v>71970.990000000005</v>
      </c>
      <c r="C96" s="15">
        <f t="shared" si="4"/>
        <v>-3.1962090526351156E-2</v>
      </c>
      <c r="D96" s="16">
        <v>43040</v>
      </c>
      <c r="E96" s="15">
        <v>3.2616000000000001</v>
      </c>
      <c r="F96" s="15">
        <f t="shared" si="5"/>
        <v>-4.6799810125634066E-3</v>
      </c>
      <c r="G96" s="16">
        <v>43040</v>
      </c>
      <c r="H96" s="15">
        <v>14.574309999</v>
      </c>
      <c r="I96" s="15">
        <f t="shared" si="6"/>
        <v>-8.652361178098178E-2</v>
      </c>
      <c r="J96" s="16">
        <v>43040</v>
      </c>
      <c r="K96" s="15">
        <v>33.414920377000001</v>
      </c>
      <c r="L96" s="15">
        <f t="shared" si="7"/>
        <v>9.0484052626989886E-2</v>
      </c>
    </row>
    <row r="97" spans="1:12" x14ac:dyDescent="0.2">
      <c r="A97" s="16">
        <v>43070</v>
      </c>
      <c r="B97" s="15">
        <v>76402.080000000002</v>
      </c>
      <c r="C97" s="15">
        <f t="shared" si="4"/>
        <v>5.9746799776109097E-2</v>
      </c>
      <c r="D97" s="16">
        <v>43070</v>
      </c>
      <c r="E97" s="15">
        <v>3.3079999999999998</v>
      </c>
      <c r="F97" s="15">
        <f t="shared" si="5"/>
        <v>1.4125904638538187E-2</v>
      </c>
      <c r="G97" s="16">
        <v>43070</v>
      </c>
      <c r="H97" s="15">
        <v>15.256592392</v>
      </c>
      <c r="I97" s="15">
        <f t="shared" si="6"/>
        <v>4.5751307934483697E-2</v>
      </c>
      <c r="J97" s="16">
        <v>43070</v>
      </c>
      <c r="K97" s="15">
        <v>38.692518428</v>
      </c>
      <c r="L97" s="15">
        <f t="shared" si="7"/>
        <v>0.14664374096449281</v>
      </c>
    </row>
    <row r="98" spans="1:12" x14ac:dyDescent="0.2">
      <c r="A98" s="16">
        <v>43101</v>
      </c>
      <c r="B98" s="15">
        <v>84912.7</v>
      </c>
      <c r="C98" s="15">
        <f t="shared" si="4"/>
        <v>0.10561374894769644</v>
      </c>
      <c r="D98" s="16">
        <v>43101</v>
      </c>
      <c r="E98" s="15">
        <v>3.1623999999999999</v>
      </c>
      <c r="F98" s="15">
        <f t="shared" si="5"/>
        <v>-4.5012544161106165E-2</v>
      </c>
      <c r="G98" s="16">
        <v>43101</v>
      </c>
      <c r="H98" s="15">
        <v>18.668004356000001</v>
      </c>
      <c r="I98" s="15">
        <f t="shared" si="6"/>
        <v>0.20179936378413568</v>
      </c>
      <c r="J98" s="16">
        <v>43101</v>
      </c>
      <c r="K98" s="15">
        <v>39.836187006000003</v>
      </c>
      <c r="L98" s="15">
        <f t="shared" si="7"/>
        <v>2.9129461382727543E-2</v>
      </c>
    </row>
    <row r="99" spans="1:12" x14ac:dyDescent="0.2">
      <c r="A99" s="16">
        <v>43132</v>
      </c>
      <c r="B99" s="15">
        <v>85353.600000000006</v>
      </c>
      <c r="C99" s="15">
        <f t="shared" si="4"/>
        <v>5.1789577323283677E-3</v>
      </c>
      <c r="D99" s="16">
        <v>43132</v>
      </c>
      <c r="E99" s="15">
        <v>3.2448999999999999</v>
      </c>
      <c r="F99" s="15">
        <f t="shared" si="5"/>
        <v>2.5753300039886004E-2</v>
      </c>
      <c r="G99" s="16">
        <v>43132</v>
      </c>
      <c r="H99" s="15">
        <v>20.335805761</v>
      </c>
      <c r="I99" s="15">
        <f t="shared" si="6"/>
        <v>8.5572101488413724E-2</v>
      </c>
      <c r="J99" s="16">
        <v>43132</v>
      </c>
      <c r="K99" s="15">
        <v>43.296024719000002</v>
      </c>
      <c r="L99" s="15">
        <f t="shared" si="7"/>
        <v>8.3285102463152197E-2</v>
      </c>
    </row>
    <row r="100" spans="1:12" x14ac:dyDescent="0.2">
      <c r="A100" s="16">
        <v>43160</v>
      </c>
      <c r="B100" s="15">
        <v>85365.56</v>
      </c>
      <c r="C100" s="15">
        <f t="shared" si="4"/>
        <v>1.4011315448775362E-4</v>
      </c>
      <c r="D100" s="16">
        <v>43160</v>
      </c>
      <c r="E100" s="15">
        <v>3.3237999999999999</v>
      </c>
      <c r="F100" s="15">
        <f t="shared" si="5"/>
        <v>2.4024173671061036E-2</v>
      </c>
      <c r="G100" s="16">
        <v>43160</v>
      </c>
      <c r="H100" s="15">
        <v>20.288425039</v>
      </c>
      <c r="I100" s="15">
        <f t="shared" si="6"/>
        <v>-2.3326346149024628E-3</v>
      </c>
      <c r="J100" s="16">
        <v>43160</v>
      </c>
      <c r="K100" s="15">
        <v>41.027447752</v>
      </c>
      <c r="L100" s="15">
        <f t="shared" si="7"/>
        <v>-5.3819522835014649E-2</v>
      </c>
    </row>
    <row r="101" spans="1:12" x14ac:dyDescent="0.2">
      <c r="A101" s="16">
        <v>43191</v>
      </c>
      <c r="B101" s="15">
        <v>86115.5</v>
      </c>
      <c r="C101" s="15">
        <f t="shared" si="4"/>
        <v>8.7466776929713812E-3</v>
      </c>
      <c r="D101" s="16">
        <v>43191</v>
      </c>
      <c r="E101" s="15">
        <v>3.4811000000000001</v>
      </c>
      <c r="F101" s="15">
        <f t="shared" si="5"/>
        <v>4.6239629082583437E-2</v>
      </c>
      <c r="G101" s="16">
        <v>43191</v>
      </c>
      <c r="H101" s="15">
        <v>21.766703556</v>
      </c>
      <c r="I101" s="15">
        <f t="shared" si="6"/>
        <v>7.0330914073944817E-2</v>
      </c>
      <c r="J101" s="16">
        <v>43191</v>
      </c>
      <c r="K101" s="15">
        <v>47.306464867999999</v>
      </c>
      <c r="L101" s="15">
        <f t="shared" si="7"/>
        <v>0.14240566404516627</v>
      </c>
    </row>
    <row r="102" spans="1:12" x14ac:dyDescent="0.2">
      <c r="A102" s="16">
        <v>43221</v>
      </c>
      <c r="B102" s="15">
        <v>76753.61</v>
      </c>
      <c r="C102" s="15">
        <f t="shared" si="4"/>
        <v>-0.11508899726847638</v>
      </c>
      <c r="D102" s="16">
        <v>43221</v>
      </c>
      <c r="E102" s="15">
        <v>3.7370000000000001</v>
      </c>
      <c r="F102" s="15">
        <f t="shared" si="5"/>
        <v>7.0934814709477642E-2</v>
      </c>
      <c r="G102" s="16">
        <v>43221</v>
      </c>
      <c r="H102" s="15">
        <v>18.021693407000001</v>
      </c>
      <c r="I102" s="15">
        <f t="shared" si="6"/>
        <v>-0.18880522085915072</v>
      </c>
      <c r="J102" s="16">
        <v>43221</v>
      </c>
      <c r="K102" s="15">
        <v>49.211553653000003</v>
      </c>
      <c r="L102" s="15">
        <f t="shared" si="7"/>
        <v>3.9481462146754943E-2</v>
      </c>
    </row>
    <row r="103" spans="1:12" x14ac:dyDescent="0.2">
      <c r="A103" s="16">
        <v>43252</v>
      </c>
      <c r="B103" s="15">
        <v>72762.52</v>
      </c>
      <c r="C103" s="15">
        <f t="shared" si="4"/>
        <v>-5.3399433727097906E-2</v>
      </c>
      <c r="D103" s="16">
        <v>43252</v>
      </c>
      <c r="E103" s="15">
        <v>3.8557999999999999</v>
      </c>
      <c r="F103" s="15">
        <f t="shared" si="5"/>
        <v>3.1295357679884603E-2</v>
      </c>
      <c r="G103" s="16">
        <v>43252</v>
      </c>
      <c r="H103" s="15">
        <v>16.32207111</v>
      </c>
      <c r="I103" s="15">
        <f t="shared" si="6"/>
        <v>-9.905797378227893E-2</v>
      </c>
      <c r="J103" s="16">
        <v>43252</v>
      </c>
      <c r="K103" s="15">
        <v>48.200690215999998</v>
      </c>
      <c r="L103" s="15">
        <f t="shared" si="7"/>
        <v>-2.0755085487409574E-2</v>
      </c>
    </row>
    <row r="104" spans="1:12" x14ac:dyDescent="0.2">
      <c r="A104" s="16">
        <v>43282</v>
      </c>
      <c r="B104" s="15">
        <v>79220.44</v>
      </c>
      <c r="C104" s="15">
        <f t="shared" si="4"/>
        <v>8.5033358866660538E-2</v>
      </c>
      <c r="D104" s="16">
        <v>43282</v>
      </c>
      <c r="E104" s="15">
        <v>3.7549000000000001</v>
      </c>
      <c r="F104" s="15">
        <f t="shared" si="5"/>
        <v>-2.651685448020423E-2</v>
      </c>
      <c r="G104" s="16">
        <v>43282</v>
      </c>
      <c r="H104" s="15">
        <v>18.724330557999998</v>
      </c>
      <c r="I104" s="15">
        <f t="shared" si="6"/>
        <v>0.13730552978849278</v>
      </c>
      <c r="J104" s="16">
        <v>43282</v>
      </c>
      <c r="K104" s="15">
        <v>53.303606602999999</v>
      </c>
      <c r="L104" s="15">
        <f t="shared" si="7"/>
        <v>0.1006306541920611</v>
      </c>
    </row>
    <row r="105" spans="1:12" x14ac:dyDescent="0.2">
      <c r="A105" s="16">
        <v>43313</v>
      </c>
      <c r="B105" s="15">
        <v>76677.53</v>
      </c>
      <c r="C105" s="15">
        <f t="shared" si="4"/>
        <v>-3.2625640461959197E-2</v>
      </c>
      <c r="D105" s="16">
        <v>43313</v>
      </c>
      <c r="E105" s="15">
        <v>4.1353</v>
      </c>
      <c r="F105" s="15">
        <f t="shared" si="5"/>
        <v>9.6498223531470917E-2</v>
      </c>
      <c r="G105" s="16">
        <v>43313</v>
      </c>
      <c r="H105" s="15">
        <v>18.333297873999999</v>
      </c>
      <c r="I105" s="15">
        <f t="shared" si="6"/>
        <v>-2.1104815105500496E-2</v>
      </c>
      <c r="J105" s="16">
        <v>43313</v>
      </c>
      <c r="K105" s="15">
        <v>53.62</v>
      </c>
      <c r="L105" s="15">
        <f t="shared" si="7"/>
        <v>5.918137827700563E-3</v>
      </c>
    </row>
    <row r="106" spans="1:12" x14ac:dyDescent="0.2">
      <c r="A106" s="16">
        <v>43344</v>
      </c>
      <c r="B106" s="15">
        <v>79342.429999999993</v>
      </c>
      <c r="C106" s="15">
        <f t="shared" si="4"/>
        <v>3.4164336426133736E-2</v>
      </c>
      <c r="D106" s="16">
        <v>43344</v>
      </c>
      <c r="E106" s="15">
        <v>4.0038999999999998</v>
      </c>
      <c r="F106" s="15">
        <f t="shared" si="5"/>
        <v>-3.2290991118380109E-2</v>
      </c>
      <c r="G106" s="16">
        <v>43344</v>
      </c>
      <c r="H106" s="15">
        <v>20.075246738000001</v>
      </c>
      <c r="I106" s="15">
        <f t="shared" si="6"/>
        <v>9.0768588149722371E-2</v>
      </c>
      <c r="J106" s="16">
        <v>43344</v>
      </c>
      <c r="K106" s="15">
        <v>59.82</v>
      </c>
      <c r="L106" s="15">
        <f t="shared" si="7"/>
        <v>0.10941792039398884</v>
      </c>
    </row>
    <row r="107" spans="1:12" x14ac:dyDescent="0.2">
      <c r="A107" s="16">
        <v>43374</v>
      </c>
      <c r="B107" s="15">
        <v>87423.55</v>
      </c>
      <c r="C107" s="15">
        <f t="shared" si="4"/>
        <v>9.6991654871545124E-2</v>
      </c>
      <c r="D107" s="16">
        <v>43374</v>
      </c>
      <c r="E107" s="15">
        <v>3.7176999999999998</v>
      </c>
      <c r="F107" s="15">
        <f t="shared" si="5"/>
        <v>-7.416368861458833E-2</v>
      </c>
      <c r="G107" s="16">
        <v>43374</v>
      </c>
      <c r="H107" s="15">
        <v>26.291053338000001</v>
      </c>
      <c r="I107" s="15">
        <f t="shared" si="6"/>
        <v>0.26974115348119287</v>
      </c>
      <c r="J107" s="16">
        <v>43374</v>
      </c>
      <c r="K107" s="15">
        <v>56.71</v>
      </c>
      <c r="L107" s="15">
        <f t="shared" si="7"/>
        <v>-5.338949117586534E-2</v>
      </c>
    </row>
    <row r="108" spans="1:12" x14ac:dyDescent="0.2">
      <c r="A108" s="16">
        <v>43405</v>
      </c>
      <c r="B108" s="15">
        <v>89504.03</v>
      </c>
      <c r="C108" s="15">
        <f t="shared" si="4"/>
        <v>2.3518955032985907E-2</v>
      </c>
      <c r="D108" s="16">
        <v>43405</v>
      </c>
      <c r="E108" s="15">
        <v>3.8633000000000002</v>
      </c>
      <c r="F108" s="15">
        <f t="shared" si="5"/>
        <v>3.8416543017102171E-2</v>
      </c>
      <c r="G108" s="16">
        <v>43405</v>
      </c>
      <c r="H108" s="15">
        <v>24.331651804</v>
      </c>
      <c r="I108" s="15">
        <f t="shared" si="6"/>
        <v>-7.745065790066312E-2</v>
      </c>
      <c r="J108" s="16">
        <v>43405</v>
      </c>
      <c r="K108" s="15">
        <v>52.8</v>
      </c>
      <c r="L108" s="15">
        <f t="shared" si="7"/>
        <v>-7.1439371313720967E-2</v>
      </c>
    </row>
    <row r="109" spans="1:12" x14ac:dyDescent="0.2">
      <c r="A109" s="16">
        <v>43435</v>
      </c>
      <c r="B109" s="15">
        <v>87887.27</v>
      </c>
      <c r="C109" s="15">
        <f t="shared" si="4"/>
        <v>-1.822868166012525E-2</v>
      </c>
      <c r="D109" s="16">
        <v>43435</v>
      </c>
      <c r="E109" s="15">
        <v>3.8748</v>
      </c>
      <c r="F109" s="15">
        <f t="shared" si="5"/>
        <v>2.972308051460963E-3</v>
      </c>
      <c r="G109" s="16">
        <v>43435</v>
      </c>
      <c r="H109" s="15">
        <v>22.402550191</v>
      </c>
      <c r="I109" s="15">
        <f t="shared" si="6"/>
        <v>-8.2603245953964607E-2</v>
      </c>
      <c r="J109" s="16">
        <v>43435</v>
      </c>
      <c r="K109" s="15">
        <v>51</v>
      </c>
      <c r="L109" s="15">
        <f t="shared" si="7"/>
        <v>-3.4685557987889984E-2</v>
      </c>
    </row>
    <row r="110" spans="1:12" x14ac:dyDescent="0.2">
      <c r="A110" s="16">
        <v>43466</v>
      </c>
      <c r="B110" s="15">
        <v>97393.75</v>
      </c>
      <c r="C110" s="15">
        <f t="shared" si="4"/>
        <v>0.10270706967186932</v>
      </c>
      <c r="D110" s="16">
        <v>43466</v>
      </c>
      <c r="E110" s="15">
        <v>3.6518999999999999</v>
      </c>
      <c r="F110" s="15">
        <f t="shared" si="5"/>
        <v>-5.9246468468569499E-2</v>
      </c>
      <c r="G110" s="16">
        <v>43466</v>
      </c>
      <c r="H110" s="15">
        <v>25.267073804999999</v>
      </c>
      <c r="I110" s="15">
        <f t="shared" si="6"/>
        <v>0.12032731731142245</v>
      </c>
      <c r="J110" s="16">
        <v>43466</v>
      </c>
      <c r="K110" s="15">
        <v>45.5</v>
      </c>
      <c r="L110" s="15">
        <f t="shared" si="7"/>
        <v>-0.11411330676742099</v>
      </c>
    </row>
    <row r="111" spans="1:12" x14ac:dyDescent="0.2">
      <c r="A111" s="16">
        <v>43497</v>
      </c>
      <c r="B111" s="15">
        <v>95584.35</v>
      </c>
      <c r="C111" s="15">
        <f t="shared" si="4"/>
        <v>-1.8752936484089194E-2</v>
      </c>
      <c r="D111" s="16">
        <v>43497</v>
      </c>
      <c r="E111" s="15">
        <v>3.7385000000000002</v>
      </c>
      <c r="F111" s="15">
        <f t="shared" si="5"/>
        <v>2.3436881356310002E-2</v>
      </c>
      <c r="G111" s="16">
        <v>43497</v>
      </c>
      <c r="H111" s="15">
        <v>26.728968613999999</v>
      </c>
      <c r="I111" s="15">
        <f t="shared" si="6"/>
        <v>5.6245826566818445E-2</v>
      </c>
      <c r="J111" s="16">
        <v>43497</v>
      </c>
      <c r="K111" s="15">
        <v>47.1</v>
      </c>
      <c r="L111" s="15">
        <f t="shared" si="7"/>
        <v>3.4560675065467429E-2</v>
      </c>
    </row>
    <row r="112" spans="1:12" x14ac:dyDescent="0.2">
      <c r="A112" s="16">
        <v>43525</v>
      </c>
      <c r="B112" s="15">
        <v>95414.56</v>
      </c>
      <c r="C112" s="15">
        <f t="shared" si="4"/>
        <v>-1.7779163737147335E-3</v>
      </c>
      <c r="D112" s="16">
        <v>43525</v>
      </c>
      <c r="E112" s="15">
        <v>3.8967000000000001</v>
      </c>
      <c r="F112" s="15">
        <f t="shared" si="5"/>
        <v>4.144557964137769E-2</v>
      </c>
      <c r="G112" s="16">
        <v>43525</v>
      </c>
      <c r="H112" s="15">
        <v>27.716735377999999</v>
      </c>
      <c r="I112" s="15">
        <f t="shared" si="6"/>
        <v>3.6288451958125759E-2</v>
      </c>
      <c r="J112" s="16">
        <v>43525</v>
      </c>
      <c r="K112" s="15">
        <v>50.93</v>
      </c>
      <c r="L112" s="15">
        <f t="shared" si="7"/>
        <v>7.817913987414106E-2</v>
      </c>
    </row>
    <row r="113" spans="1:12" x14ac:dyDescent="0.2">
      <c r="A113" s="16">
        <v>43556</v>
      </c>
      <c r="B113" s="15">
        <v>96353.33</v>
      </c>
      <c r="C113" s="15">
        <f t="shared" si="4"/>
        <v>9.7907684037081416E-3</v>
      </c>
      <c r="D113" s="16">
        <v>43556</v>
      </c>
      <c r="E113" s="15">
        <v>3.9453</v>
      </c>
      <c r="F113" s="15">
        <f t="shared" si="5"/>
        <v>1.2394955934680946E-2</v>
      </c>
      <c r="G113" s="16">
        <v>43556</v>
      </c>
      <c r="H113" s="15">
        <v>26.797073455</v>
      </c>
      <c r="I113" s="15">
        <f t="shared" si="6"/>
        <v>-3.3743713915870797E-2</v>
      </c>
      <c r="J113" s="16">
        <v>43556</v>
      </c>
      <c r="K113" s="15">
        <v>50.1</v>
      </c>
      <c r="L113" s="15">
        <f t="shared" si="7"/>
        <v>-1.6431132805694089E-2</v>
      </c>
    </row>
    <row r="114" spans="1:12" x14ac:dyDescent="0.2">
      <c r="A114" s="16">
        <v>43586</v>
      </c>
      <c r="B114" s="15">
        <v>97030.32</v>
      </c>
      <c r="C114" s="15">
        <f t="shared" si="4"/>
        <v>7.0015512231661053E-3</v>
      </c>
      <c r="D114" s="16">
        <v>43586</v>
      </c>
      <c r="E114" s="15">
        <v>3.9407000000000001</v>
      </c>
      <c r="F114" s="15">
        <f t="shared" si="5"/>
        <v>-1.1666245299826428E-3</v>
      </c>
      <c r="G114" s="16">
        <v>43586</v>
      </c>
      <c r="H114" s="15">
        <v>25.350779726999999</v>
      </c>
      <c r="I114" s="15">
        <f t="shared" si="6"/>
        <v>-5.5483194088120733E-2</v>
      </c>
      <c r="J114" s="16">
        <v>43586</v>
      </c>
      <c r="K114" s="15">
        <v>49</v>
      </c>
      <c r="L114" s="15">
        <f t="shared" si="7"/>
        <v>-2.220070998019253E-2</v>
      </c>
    </row>
    <row r="115" spans="1:12" x14ac:dyDescent="0.2">
      <c r="A115" s="16">
        <v>43617</v>
      </c>
      <c r="B115" s="15">
        <v>100967.2</v>
      </c>
      <c r="C115" s="15">
        <f t="shared" si="4"/>
        <v>3.9772204641649669E-2</v>
      </c>
      <c r="D115" s="16">
        <v>43617</v>
      </c>
      <c r="E115" s="15">
        <v>3.8321999999999998</v>
      </c>
      <c r="F115" s="15">
        <f t="shared" si="5"/>
        <v>-2.7919321690447831E-2</v>
      </c>
      <c r="G115" s="16">
        <v>43617</v>
      </c>
      <c r="H115" s="15">
        <v>27.196276803</v>
      </c>
      <c r="I115" s="15">
        <f t="shared" si="6"/>
        <v>7.0270593664376629E-2</v>
      </c>
      <c r="J115" s="16">
        <v>43617</v>
      </c>
      <c r="K115" s="15">
        <v>51.82</v>
      </c>
      <c r="L115" s="15">
        <f t="shared" si="7"/>
        <v>5.5955877023337326E-2</v>
      </c>
    </row>
    <row r="116" spans="1:12" x14ac:dyDescent="0.2">
      <c r="A116" s="16">
        <v>43647</v>
      </c>
      <c r="B116" s="15">
        <v>101812.13</v>
      </c>
      <c r="C116" s="15">
        <f t="shared" si="4"/>
        <v>8.3335406017840622E-3</v>
      </c>
      <c r="D116" s="16">
        <v>43647</v>
      </c>
      <c r="E116" s="15">
        <v>3.7648999999999999</v>
      </c>
      <c r="F116" s="15">
        <f t="shared" si="5"/>
        <v>-1.7717750339305602E-2</v>
      </c>
      <c r="G116" s="16">
        <v>43647</v>
      </c>
      <c r="H116" s="15">
        <v>25.876647172999999</v>
      </c>
      <c r="I116" s="15">
        <f t="shared" si="6"/>
        <v>-4.9739173270778141E-2</v>
      </c>
      <c r="J116" s="16">
        <v>43647</v>
      </c>
      <c r="K116" s="15">
        <v>49.81</v>
      </c>
      <c r="L116" s="15">
        <f t="shared" si="7"/>
        <v>-3.9560408048771839E-2</v>
      </c>
    </row>
    <row r="117" spans="1:12" x14ac:dyDescent="0.2">
      <c r="A117" s="16">
        <v>43678</v>
      </c>
      <c r="B117" s="15">
        <v>101134.61</v>
      </c>
      <c r="C117" s="15">
        <f t="shared" si="4"/>
        <v>-6.6768504584373859E-3</v>
      </c>
      <c r="D117" s="16">
        <v>43678</v>
      </c>
      <c r="E117" s="15">
        <v>4.1384999999999996</v>
      </c>
      <c r="F117" s="15">
        <f t="shared" si="5"/>
        <v>9.4612102869157555E-2</v>
      </c>
      <c r="G117" s="16">
        <v>43678</v>
      </c>
      <c r="H117" s="15">
        <v>25.5</v>
      </c>
      <c r="I117" s="15">
        <f t="shared" si="6"/>
        <v>-1.4662456254916759E-2</v>
      </c>
      <c r="J117" s="16">
        <v>43678</v>
      </c>
      <c r="K117" s="15">
        <v>45.57</v>
      </c>
      <c r="L117" s="15">
        <f t="shared" si="7"/>
        <v>-8.8966161809400882E-2</v>
      </c>
    </row>
    <row r="118" spans="1:12" x14ac:dyDescent="0.2">
      <c r="A118" s="16">
        <v>43709</v>
      </c>
      <c r="B118" s="15">
        <v>104531.93</v>
      </c>
      <c r="C118" s="15">
        <f t="shared" si="4"/>
        <v>3.304017320727827E-2</v>
      </c>
      <c r="D118" s="16">
        <v>43709</v>
      </c>
      <c r="E118" s="15">
        <v>4.0972</v>
      </c>
      <c r="F118" s="15">
        <f t="shared" si="5"/>
        <v>-1.0029589763070838E-2</v>
      </c>
      <c r="G118" s="16">
        <v>43709</v>
      </c>
      <c r="H118" s="15">
        <v>27.22</v>
      </c>
      <c r="I118" s="15">
        <f t="shared" si="6"/>
        <v>6.5273545058939494E-2</v>
      </c>
      <c r="J118" s="16">
        <v>43709</v>
      </c>
      <c r="K118" s="15">
        <v>48.4</v>
      </c>
      <c r="L118" s="15">
        <f t="shared" si="7"/>
        <v>6.0250208446794837E-2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EB46-0648-894C-B121-E74D5CC81D41}">
  <dimension ref="A1:E6"/>
  <sheetViews>
    <sheetView zoomScaleNormal="100" workbookViewId="0">
      <selection activeCell="F16" sqref="F16"/>
    </sheetView>
  </sheetViews>
  <sheetFormatPr baseColWidth="10" defaultRowHeight="16" x14ac:dyDescent="0.2"/>
  <cols>
    <col min="1" max="1" width="13.5" bestFit="1" customWidth="1"/>
    <col min="2" max="2" width="16.33203125" customWidth="1"/>
    <col min="3" max="3" width="13.1640625" bestFit="1" customWidth="1"/>
    <col min="4" max="4" width="12.1640625" bestFit="1" customWidth="1"/>
    <col min="5" max="5" width="13.1640625" bestFit="1" customWidth="1"/>
  </cols>
  <sheetData>
    <row r="1" spans="1:5" x14ac:dyDescent="0.2">
      <c r="B1" s="1" t="s">
        <v>21</v>
      </c>
      <c r="C1" s="1" t="s">
        <v>22</v>
      </c>
    </row>
    <row r="2" spans="1:5" x14ac:dyDescent="0.2">
      <c r="A2" t="s">
        <v>23</v>
      </c>
      <c r="B2" s="7">
        <v>0.1341</v>
      </c>
      <c r="C2" s="7">
        <v>0.26619999999999999</v>
      </c>
      <c r="E2" t="s">
        <v>24</v>
      </c>
    </row>
    <row r="3" spans="1:5" x14ac:dyDescent="0.2">
      <c r="A3" t="s">
        <v>25</v>
      </c>
      <c r="B3" s="7">
        <v>9.4000000000000004E-3</v>
      </c>
      <c r="C3" s="7">
        <v>0.45129999999999998</v>
      </c>
    </row>
    <row r="4" spans="1:5" x14ac:dyDescent="0.2">
      <c r="A4" t="s">
        <v>26</v>
      </c>
      <c r="B4" s="7">
        <v>0.1021</v>
      </c>
      <c r="C4" s="7">
        <v>0.2021</v>
      </c>
    </row>
    <row r="5" spans="1:5" x14ac:dyDescent="0.2">
      <c r="A5" t="s">
        <v>27</v>
      </c>
      <c r="B5" s="7">
        <v>4.9099999999999998E-2</v>
      </c>
      <c r="C5" s="7">
        <v>0.17369999999999999</v>
      </c>
    </row>
    <row r="6" spans="1:5" x14ac:dyDescent="0.2">
      <c r="A6" t="s">
        <v>28</v>
      </c>
      <c r="B6" s="7">
        <v>0.1053</v>
      </c>
      <c r="C6" s="7">
        <v>0.15670000000000001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B7D3-2F47-A244-B8C2-84586DCB9557}">
  <dimension ref="A1:G5"/>
  <sheetViews>
    <sheetView zoomScaleNormal="100" workbookViewId="0">
      <selection activeCell="A5" sqref="A5"/>
    </sheetView>
  </sheetViews>
  <sheetFormatPr baseColWidth="10" defaultRowHeight="16" x14ac:dyDescent="0.2"/>
  <cols>
    <col min="1" max="1" width="11.6640625" bestFit="1" customWidth="1"/>
    <col min="2" max="2" width="14.1640625" bestFit="1" customWidth="1"/>
    <col min="3" max="3" width="13.1640625" bestFit="1" customWidth="1"/>
    <col min="4" max="4" width="16.6640625" bestFit="1" customWidth="1"/>
    <col min="5" max="5" width="15.83203125" bestFit="1" customWidth="1"/>
    <col min="6" max="6" width="20.5" bestFit="1" customWidth="1"/>
    <col min="7" max="7" width="28.6640625" bestFit="1" customWidth="1"/>
  </cols>
  <sheetData>
    <row r="1" spans="1:7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/>
      <c r="G1" s="1"/>
    </row>
    <row r="2" spans="1:7" x14ac:dyDescent="0.2">
      <c r="A2" s="1" t="s">
        <v>1</v>
      </c>
      <c r="B2" s="2">
        <v>10000</v>
      </c>
      <c r="C2" s="4">
        <v>0.02</v>
      </c>
      <c r="D2" s="4">
        <f>1-C2</f>
        <v>0.98</v>
      </c>
      <c r="E2" s="3">
        <v>0</v>
      </c>
      <c r="F2" s="5"/>
      <c r="G2" s="5"/>
    </row>
    <row r="3" spans="1:7" x14ac:dyDescent="0.2">
      <c r="A3" s="1" t="s">
        <v>2</v>
      </c>
      <c r="B3" s="2">
        <v>20000</v>
      </c>
      <c r="C3" s="4">
        <v>0.05</v>
      </c>
      <c r="D3" s="4">
        <f t="shared" ref="D3:D4" si="0">1-C3</f>
        <v>0.95</v>
      </c>
      <c r="E3" s="3">
        <v>0</v>
      </c>
      <c r="F3" s="5"/>
      <c r="G3" s="5"/>
    </row>
    <row r="4" spans="1:7" x14ac:dyDescent="0.2">
      <c r="A4" s="1" t="s">
        <v>3</v>
      </c>
      <c r="B4" s="2">
        <v>70000</v>
      </c>
      <c r="C4" s="4">
        <v>0.1</v>
      </c>
      <c r="D4" s="4">
        <f t="shared" si="0"/>
        <v>0.9</v>
      </c>
      <c r="E4" s="3">
        <v>0</v>
      </c>
      <c r="F4" s="5"/>
      <c r="G4" s="5"/>
    </row>
    <row r="5" spans="1:7" x14ac:dyDescent="0.2">
      <c r="A5" s="1"/>
      <c r="G5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90E6-FE88-4141-9E5F-1245CBB8AB19}">
  <dimension ref="A1:F5"/>
  <sheetViews>
    <sheetView zoomScaleNormal="100" workbookViewId="0">
      <selection activeCell="I22" sqref="I22"/>
    </sheetView>
  </sheetViews>
  <sheetFormatPr baseColWidth="10" defaultRowHeight="16" x14ac:dyDescent="0.2"/>
  <cols>
    <col min="1" max="1" width="16" bestFit="1" customWidth="1"/>
    <col min="2" max="2" width="13.1640625" bestFit="1" customWidth="1"/>
    <col min="4" max="4" width="11.5" bestFit="1" customWidth="1"/>
    <col min="6" max="6" width="15" bestFit="1" customWidth="1"/>
    <col min="7" max="8" width="12" bestFit="1" customWidth="1"/>
  </cols>
  <sheetData>
    <row r="1" spans="1:6" x14ac:dyDescent="0.2">
      <c r="A1" s="8" t="s">
        <v>8</v>
      </c>
    </row>
    <row r="2" spans="1:6" x14ac:dyDescent="0.2">
      <c r="A2" s="10" t="s">
        <v>9</v>
      </c>
      <c r="B2" s="10" t="s">
        <v>10</v>
      </c>
      <c r="E2" s="12" t="s">
        <v>11</v>
      </c>
      <c r="F2" s="6" t="s">
        <v>10</v>
      </c>
    </row>
    <row r="3" spans="1:6" x14ac:dyDescent="0.2">
      <c r="A3" s="10">
        <v>0</v>
      </c>
      <c r="B3" s="11">
        <v>0.7</v>
      </c>
      <c r="E3" s="13">
        <v>500</v>
      </c>
      <c r="F3" s="14">
        <v>0.6</v>
      </c>
    </row>
    <row r="4" spans="1:6" x14ac:dyDescent="0.2">
      <c r="A4" s="10">
        <v>1</v>
      </c>
      <c r="B4" s="11">
        <v>0.2</v>
      </c>
      <c r="E4" s="13">
        <v>10000</v>
      </c>
      <c r="F4" s="14">
        <v>0.3</v>
      </c>
    </row>
    <row r="5" spans="1:6" x14ac:dyDescent="0.2">
      <c r="A5" s="10">
        <v>2</v>
      </c>
      <c r="B5" s="11">
        <v>0.1</v>
      </c>
      <c r="E5" s="13">
        <v>50000</v>
      </c>
      <c r="F5" s="14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1056-3D26-B740-9A11-48E82722678C}">
  <dimension ref="A2:F34"/>
  <sheetViews>
    <sheetView workbookViewId="0">
      <selection activeCell="B36" sqref="B36"/>
    </sheetView>
  </sheetViews>
  <sheetFormatPr baseColWidth="10" defaultRowHeight="16" x14ac:dyDescent="0.2"/>
  <cols>
    <col min="1" max="1" width="29" bestFit="1" customWidth="1"/>
    <col min="2" max="2" width="12.83203125" bestFit="1" customWidth="1"/>
  </cols>
  <sheetData>
    <row r="2" spans="1:6" x14ac:dyDescent="0.2">
      <c r="A2" s="17" t="s">
        <v>29</v>
      </c>
      <c r="B2" s="17" t="s">
        <v>30</v>
      </c>
      <c r="C2" s="17" t="s">
        <v>23</v>
      </c>
      <c r="D2" s="17" t="s">
        <v>25</v>
      </c>
      <c r="E2" s="17" t="s">
        <v>26</v>
      </c>
      <c r="F2" s="17" t="s">
        <v>27</v>
      </c>
    </row>
    <row r="3" spans="1:6" x14ac:dyDescent="0.2">
      <c r="A3" s="8"/>
      <c r="B3" s="9"/>
      <c r="C3" s="18"/>
      <c r="D3" s="18"/>
      <c r="E3" s="18"/>
      <c r="F3" s="18"/>
    </row>
    <row r="4" spans="1:6" x14ac:dyDescent="0.2">
      <c r="C4" s="9"/>
      <c r="D4" s="9"/>
      <c r="E4" s="9"/>
      <c r="F4" s="9"/>
    </row>
    <row r="5" spans="1:6" x14ac:dyDescent="0.2">
      <c r="A5" s="8"/>
      <c r="B5" s="9"/>
      <c r="C5" s="18"/>
      <c r="D5" s="18"/>
      <c r="E5" s="18"/>
      <c r="F5" s="18"/>
    </row>
    <row r="6" spans="1:6" x14ac:dyDescent="0.2">
      <c r="B6" s="9"/>
      <c r="C6" s="9"/>
      <c r="D6" s="9"/>
      <c r="E6" s="9"/>
      <c r="F6" s="9"/>
    </row>
    <row r="7" spans="1:6" x14ac:dyDescent="0.2">
      <c r="A7" s="8"/>
      <c r="B7" s="9"/>
      <c r="C7" s="18"/>
      <c r="D7" s="18"/>
      <c r="E7" s="18"/>
      <c r="F7" s="18"/>
    </row>
    <row r="8" spans="1:6" x14ac:dyDescent="0.2">
      <c r="B8" s="9"/>
      <c r="C8" s="9"/>
      <c r="D8" s="9"/>
      <c r="E8" s="9"/>
      <c r="F8" s="9"/>
    </row>
    <row r="9" spans="1:6" x14ac:dyDescent="0.2">
      <c r="A9" s="8"/>
      <c r="B9" s="9"/>
      <c r="C9" s="18"/>
      <c r="D9" s="18"/>
      <c r="E9" s="18"/>
      <c r="F9" s="18"/>
    </row>
    <row r="10" spans="1:6" x14ac:dyDescent="0.2">
      <c r="B10" s="9"/>
      <c r="C10" s="9"/>
      <c r="D10" s="9"/>
      <c r="E10" s="9"/>
      <c r="F10" s="9"/>
    </row>
    <row r="11" spans="1:6" x14ac:dyDescent="0.2">
      <c r="B11" s="9"/>
      <c r="C11" s="9"/>
      <c r="D11" s="9"/>
      <c r="E11" s="9"/>
      <c r="F11" s="9"/>
    </row>
    <row r="12" spans="1:6" x14ac:dyDescent="0.2">
      <c r="A12" s="8"/>
      <c r="B12" s="19"/>
      <c r="C12" s="19"/>
      <c r="D12" s="19"/>
      <c r="E12" s="19"/>
      <c r="F12" s="19"/>
    </row>
    <row r="32" spans="2:6" x14ac:dyDescent="0.2">
      <c r="B32" s="9"/>
      <c r="D32" s="9"/>
      <c r="E32" s="9"/>
      <c r="F32" s="9"/>
    </row>
    <row r="33" spans="2:6" x14ac:dyDescent="0.2">
      <c r="B33" s="9"/>
      <c r="D33" s="9"/>
      <c r="E33" s="9"/>
      <c r="F33" s="9"/>
    </row>
    <row r="34" spans="2:6" x14ac:dyDescent="0.2">
      <c r="B34" s="9"/>
      <c r="D34" s="9"/>
      <c r="E34" s="9"/>
      <c r="F34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1764C76F-24A2-4E11-947C-7B768B7CF17D}"/>
</file>

<file path=customXml/itemProps2.xml><?xml version="1.0" encoding="utf-8"?>
<ds:datastoreItem xmlns:ds="http://schemas.openxmlformats.org/officeDocument/2006/customXml" ds:itemID="{50EED915-7BF0-401F-A6E5-6A9D00132CC4}"/>
</file>

<file path=customXml/itemProps3.xml><?xml version="1.0" encoding="utf-8"?>
<ds:datastoreItem xmlns:ds="http://schemas.openxmlformats.org/officeDocument/2006/customXml" ds:itemID="{050ACF1C-FCC8-4778-8440-7D7E94E6F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Risco e Volatilidade</vt:lpstr>
      <vt:lpstr>Correlação</vt:lpstr>
      <vt:lpstr>Markowitz</vt:lpstr>
      <vt:lpstr>Risco Crédito</vt:lpstr>
      <vt:lpstr>Risco Operacional</vt:lpstr>
      <vt:lpstr>Fluxos de Caixa e 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2022-04-07T15:52:36Z</dcterms:created>
  <dcterms:modified xsi:type="dcterms:W3CDTF">2025-09-17T11:49:19Z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