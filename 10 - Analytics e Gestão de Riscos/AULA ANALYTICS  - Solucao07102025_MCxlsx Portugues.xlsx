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ink/ink14.xml" ContentType="application/inkml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ink/ink33.xml" ContentType="application/inkml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17203020d1a8bb/Documentos/AULA DATA SCIENCE/"/>
    </mc:Choice>
  </mc:AlternateContent>
  <xr:revisionPtr revIDLastSave="1546" documentId="8_{FA46D7C7-C887-4873-98B0-B5E9CEA40C16}" xr6:coauthVersionLast="47" xr6:coauthVersionMax="47" xr10:uidLastSave="{7A414424-7BEC-4537-BAA4-879F4649D1B0}"/>
  <bookViews>
    <workbookView xWindow="1860" yWindow="1860" windowWidth="24660" windowHeight="11655" firstSheet="6" activeTab="8" xr2:uid="{078EFBBF-B166-E142-AA4B-D43E54530C85}"/>
  </bookViews>
  <sheets>
    <sheet name="Risco e Volatilidade" sheetId="3" r:id="rId1"/>
    <sheet name="Correlação" sheetId="4" r:id="rId2"/>
    <sheet name="Markowitz" sheetId="5" r:id="rId3"/>
    <sheet name="Cotações - Carteira" sheetId="7" r:id="rId4"/>
    <sheet name="Campanha Marketing" sheetId="8" r:id="rId5"/>
    <sheet name="Risco Crédito" sheetId="1" r:id="rId6"/>
    <sheet name="Risco Operacional" sheetId="2" r:id="rId7"/>
    <sheet name="Exemplo Prob" sheetId="9" r:id="rId8"/>
    <sheet name="Fluxos de Caixa e Riscos" sheetId="6" r:id="rId9"/>
    <sheet name="Análise Sensibilidade" sheetId="10" r:id="rId10"/>
    <sheet name="Resumo do cenário" sheetId="11" r:id="rId11"/>
  </sheets>
  <definedNames>
    <definedName name="solver_adj" localSheetId="2" hidden="1">Markowitz!$B$44:$C$44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Markowitz!$A$44</definedName>
    <definedName name="solver_lhs2" localSheetId="2" hidden="1">Markowitz!$B$44:$C$44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Markowitz!$E$47</definedName>
    <definedName name="solver_pre" localSheetId="2" hidden="1">0.000001</definedName>
    <definedName name="solver_rbv" localSheetId="2" hidden="1">1</definedName>
    <definedName name="solver_rel1" localSheetId="2" hidden="1">2</definedName>
    <definedName name="solver_rel2" localSheetId="2" hidden="1">3</definedName>
    <definedName name="solver_rhs1" localSheetId="2" hidden="1">100%</definedName>
    <definedName name="solver_rhs2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8" l="1"/>
  <c r="E16" i="8"/>
  <c r="E15" i="8"/>
  <c r="E14" i="8"/>
  <c r="E13" i="8"/>
  <c r="E11" i="8"/>
  <c r="B11" i="8"/>
  <c r="E12" i="8"/>
  <c r="E10" i="8"/>
  <c r="H26" i="11"/>
  <c r="H25" i="11"/>
  <c r="I22" i="11"/>
  <c r="I23" i="11"/>
  <c r="I21" i="11"/>
  <c r="H24" i="11"/>
  <c r="H22" i="11"/>
  <c r="H23" i="11"/>
  <c r="H21" i="11"/>
  <c r="G23" i="11"/>
  <c r="G22" i="11"/>
  <c r="G21" i="11"/>
  <c r="E8" i="10"/>
  <c r="F8" i="10"/>
  <c r="D8" i="10"/>
  <c r="B22" i="10"/>
  <c r="B23" i="10" s="1"/>
  <c r="C15" i="10"/>
  <c r="D15" i="10" s="1"/>
  <c r="E15" i="10" s="1"/>
  <c r="F15" i="10" s="1"/>
  <c r="C13" i="10"/>
  <c r="C12" i="10"/>
  <c r="D12" i="10" s="1"/>
  <c r="C17" i="10"/>
  <c r="B191" i="6"/>
  <c r="B190" i="6"/>
  <c r="C183" i="6"/>
  <c r="D183" i="6" s="1"/>
  <c r="E183" i="6" s="1"/>
  <c r="F183" i="6" s="1"/>
  <c r="C181" i="6"/>
  <c r="D181" i="6" s="1"/>
  <c r="E181" i="6" s="1"/>
  <c r="F181" i="6" s="1"/>
  <c r="C180" i="6"/>
  <c r="D180" i="6" s="1"/>
  <c r="B176" i="6"/>
  <c r="C185" i="6" s="1"/>
  <c r="B162" i="6"/>
  <c r="B163" i="6" s="1"/>
  <c r="C155" i="6"/>
  <c r="D155" i="6" s="1"/>
  <c r="E155" i="6" s="1"/>
  <c r="F155" i="6" s="1"/>
  <c r="C153" i="6"/>
  <c r="C154" i="6" s="1"/>
  <c r="C152" i="6"/>
  <c r="D152" i="6" s="1"/>
  <c r="B148" i="6"/>
  <c r="C157" i="6" s="1"/>
  <c r="B134" i="6"/>
  <c r="B135" i="6" s="1"/>
  <c r="C133" i="6"/>
  <c r="C129" i="6"/>
  <c r="D129" i="6" s="1"/>
  <c r="C127" i="6"/>
  <c r="D127" i="6" s="1"/>
  <c r="E127" i="6" s="1"/>
  <c r="F127" i="6" s="1"/>
  <c r="C125" i="6"/>
  <c r="D125" i="6" s="1"/>
  <c r="E125" i="6" s="1"/>
  <c r="F125" i="6" s="1"/>
  <c r="C124" i="6"/>
  <c r="D124" i="6" s="1"/>
  <c r="B120" i="6"/>
  <c r="B106" i="6"/>
  <c r="B107" i="6" s="1"/>
  <c r="C105" i="6"/>
  <c r="C101" i="6"/>
  <c r="D101" i="6" s="1"/>
  <c r="C99" i="6"/>
  <c r="D99" i="6" s="1"/>
  <c r="E99" i="6" s="1"/>
  <c r="F99" i="6" s="1"/>
  <c r="C97" i="6"/>
  <c r="C98" i="6" s="1"/>
  <c r="C100" i="6" s="1"/>
  <c r="C102" i="6" s="1"/>
  <c r="D96" i="6"/>
  <c r="E96" i="6" s="1"/>
  <c r="C96" i="6"/>
  <c r="B92" i="6"/>
  <c r="B78" i="6"/>
  <c r="B79" i="6" s="1"/>
  <c r="C71" i="6"/>
  <c r="D71" i="6" s="1"/>
  <c r="E71" i="6" s="1"/>
  <c r="F71" i="6" s="1"/>
  <c r="C69" i="6"/>
  <c r="C68" i="6"/>
  <c r="D68" i="6" s="1"/>
  <c r="B64" i="6"/>
  <c r="C73" i="6" s="1"/>
  <c r="B50" i="6"/>
  <c r="B51" i="6" s="1"/>
  <c r="C49" i="6"/>
  <c r="C45" i="6"/>
  <c r="D45" i="6" s="1"/>
  <c r="C43" i="6"/>
  <c r="D43" i="6" s="1"/>
  <c r="E43" i="6" s="1"/>
  <c r="F43" i="6" s="1"/>
  <c r="C41" i="6"/>
  <c r="C40" i="6"/>
  <c r="D40" i="6" s="1"/>
  <c r="B36" i="6"/>
  <c r="B25" i="6"/>
  <c r="B24" i="6"/>
  <c r="D20" i="6"/>
  <c r="E20" i="6"/>
  <c r="F20" i="6"/>
  <c r="B22" i="6"/>
  <c r="B21" i="6"/>
  <c r="C20" i="6"/>
  <c r="E16" i="6"/>
  <c r="F16" i="6" s="1"/>
  <c r="D16" i="6"/>
  <c r="D15" i="6"/>
  <c r="D17" i="6" s="1"/>
  <c r="C16" i="6"/>
  <c r="C15" i="6"/>
  <c r="C17" i="6" s="1"/>
  <c r="D14" i="6"/>
  <c r="E14" i="6" s="1"/>
  <c r="C14" i="6"/>
  <c r="D13" i="6"/>
  <c r="E13" i="6"/>
  <c r="F13" i="6"/>
  <c r="C13" i="6"/>
  <c r="E12" i="6"/>
  <c r="F12" i="6" s="1"/>
  <c r="D12" i="6"/>
  <c r="C12" i="6"/>
  <c r="E11" i="6"/>
  <c r="F11" i="6" s="1"/>
  <c r="D11" i="6"/>
  <c r="C11" i="6"/>
  <c r="B7" i="6"/>
  <c r="F8" i="9"/>
  <c r="F9" i="9"/>
  <c r="F7" i="9"/>
  <c r="D9" i="9"/>
  <c r="D8" i="9"/>
  <c r="D7" i="9"/>
  <c r="C8" i="9"/>
  <c r="C9" i="9"/>
  <c r="C7" i="9"/>
  <c r="C3" i="9"/>
  <c r="F70" i="2"/>
  <c r="F67" i="2"/>
  <c r="F64" i="2"/>
  <c r="D60" i="2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59" i="2"/>
  <c r="D58" i="2"/>
  <c r="G8" i="2"/>
  <c r="G6" i="2"/>
  <c r="G4" i="2"/>
  <c r="G5" i="2"/>
  <c r="G3" i="2"/>
  <c r="C6" i="2"/>
  <c r="C4" i="2"/>
  <c r="C5" i="2"/>
  <c r="C3" i="2"/>
  <c r="D54" i="2"/>
  <c r="D42" i="2"/>
  <c r="D43" i="2"/>
  <c r="D44" i="2"/>
  <c r="D45" i="2"/>
  <c r="D46" i="2"/>
  <c r="D47" i="2"/>
  <c r="D48" i="2"/>
  <c r="D49" i="2"/>
  <c r="D50" i="2"/>
  <c r="D51" i="2"/>
  <c r="D52" i="2"/>
  <c r="D53" i="2"/>
  <c r="D41" i="2"/>
  <c r="D38" i="2"/>
  <c r="C37" i="2"/>
  <c r="C36" i="2"/>
  <c r="C35" i="2"/>
  <c r="D35" i="2" s="1"/>
  <c r="B37" i="2"/>
  <c r="B36" i="2"/>
  <c r="B35" i="2"/>
  <c r="C34" i="2"/>
  <c r="C33" i="2"/>
  <c r="C32" i="2"/>
  <c r="B34" i="2"/>
  <c r="B33" i="2"/>
  <c r="B32" i="2"/>
  <c r="D32" i="2" s="1"/>
  <c r="D30" i="2"/>
  <c r="D31" i="2"/>
  <c r="D33" i="2"/>
  <c r="D34" i="2"/>
  <c r="D36" i="2"/>
  <c r="D37" i="2"/>
  <c r="D29" i="2"/>
  <c r="C31" i="2"/>
  <c r="C30" i="2"/>
  <c r="C29" i="2"/>
  <c r="B31" i="2"/>
  <c r="B30" i="2"/>
  <c r="B29" i="2"/>
  <c r="A31" i="2"/>
  <c r="A32" i="2" s="1"/>
  <c r="A33" i="2" s="1"/>
  <c r="A34" i="2" s="1"/>
  <c r="A35" i="2" s="1"/>
  <c r="A36" i="2" s="1"/>
  <c r="A37" i="2" s="1"/>
  <c r="A30" i="2"/>
  <c r="A29" i="2"/>
  <c r="D27" i="2"/>
  <c r="D28" i="2"/>
  <c r="D26" i="2"/>
  <c r="B28" i="2"/>
  <c r="B27" i="2"/>
  <c r="B26" i="2"/>
  <c r="A28" i="2"/>
  <c r="A27" i="2"/>
  <c r="A26" i="2"/>
  <c r="D25" i="2"/>
  <c r="A25" i="2"/>
  <c r="D13" i="2"/>
  <c r="D14" i="2"/>
  <c r="D15" i="2"/>
  <c r="D16" i="2"/>
  <c r="D17" i="2"/>
  <c r="D18" i="2"/>
  <c r="D19" i="2"/>
  <c r="D20" i="2"/>
  <c r="D21" i="2"/>
  <c r="C21" i="2"/>
  <c r="C20" i="2"/>
  <c r="C19" i="2"/>
  <c r="B21" i="2"/>
  <c r="B20" i="2"/>
  <c r="B19" i="2"/>
  <c r="C18" i="2"/>
  <c r="C17" i="2"/>
  <c r="C16" i="2"/>
  <c r="B18" i="2"/>
  <c r="B17" i="2"/>
  <c r="B16" i="2"/>
  <c r="C15" i="2"/>
  <c r="B15" i="2"/>
  <c r="C14" i="2"/>
  <c r="C13" i="2"/>
  <c r="B14" i="2"/>
  <c r="B13" i="2"/>
  <c r="D10" i="2"/>
  <c r="D11" i="2"/>
  <c r="D12" i="2"/>
  <c r="B12" i="2"/>
  <c r="B11" i="2"/>
  <c r="B10" i="2"/>
  <c r="D9" i="2"/>
  <c r="G53" i="1"/>
  <c r="G50" i="1"/>
  <c r="G47" i="1"/>
  <c r="E45" i="1"/>
  <c r="E46" i="1" s="1"/>
  <c r="E47" i="1" s="1"/>
  <c r="E48" i="1" s="1"/>
  <c r="E49" i="1" s="1"/>
  <c r="E50" i="1" s="1"/>
  <c r="E44" i="1"/>
  <c r="E43" i="1"/>
  <c r="E39" i="1"/>
  <c r="E32" i="1"/>
  <c r="E33" i="1"/>
  <c r="E34" i="1"/>
  <c r="E35" i="1"/>
  <c r="E36" i="1"/>
  <c r="E37" i="1"/>
  <c r="E38" i="1"/>
  <c r="E31" i="1"/>
  <c r="F28" i="1"/>
  <c r="F21" i="1"/>
  <c r="F22" i="1"/>
  <c r="F23" i="1"/>
  <c r="F24" i="1"/>
  <c r="F25" i="1"/>
  <c r="F26" i="1"/>
  <c r="F27" i="1"/>
  <c r="F20" i="1"/>
  <c r="E27" i="1"/>
  <c r="D27" i="1"/>
  <c r="C27" i="1"/>
  <c r="E26" i="1"/>
  <c r="D26" i="1"/>
  <c r="C26" i="1"/>
  <c r="D25" i="1"/>
  <c r="E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F16" i="1"/>
  <c r="E16" i="1"/>
  <c r="D16" i="1"/>
  <c r="C16" i="1"/>
  <c r="F13" i="1"/>
  <c r="F14" i="1"/>
  <c r="F15" i="1"/>
  <c r="E15" i="1"/>
  <c r="D15" i="1"/>
  <c r="C15" i="1"/>
  <c r="E14" i="1"/>
  <c r="C14" i="1"/>
  <c r="D13" i="1"/>
  <c r="C13" i="1"/>
  <c r="F10" i="1"/>
  <c r="F11" i="1"/>
  <c r="F12" i="1"/>
  <c r="E12" i="1"/>
  <c r="D11" i="1"/>
  <c r="C10" i="1"/>
  <c r="F9" i="1"/>
  <c r="G5" i="1"/>
  <c r="G3" i="1"/>
  <c r="G4" i="1"/>
  <c r="G2" i="1"/>
  <c r="F3" i="1"/>
  <c r="F4" i="1"/>
  <c r="F2" i="1"/>
  <c r="E7" i="8"/>
  <c r="E6" i="8"/>
  <c r="E5" i="8"/>
  <c r="E4" i="8"/>
  <c r="E3" i="8"/>
  <c r="E2" i="8"/>
  <c r="B4" i="8"/>
  <c r="A44" i="5"/>
  <c r="E44" i="5"/>
  <c r="D44" i="5"/>
  <c r="D40" i="5"/>
  <c r="A40" i="5"/>
  <c r="E40" i="5"/>
  <c r="O21" i="7" a="1"/>
  <c r="O21" i="7" s="1"/>
  <c r="N22" i="7"/>
  <c r="N21" i="7"/>
  <c r="L17" i="7"/>
  <c r="M17" i="7"/>
  <c r="L18" i="7"/>
  <c r="M18" i="7"/>
  <c r="K18" i="7"/>
  <c r="K17" i="7"/>
  <c r="N12" i="7"/>
  <c r="N11" i="7"/>
  <c r="M11" i="7"/>
  <c r="N13" i="7"/>
  <c r="M12" i="7"/>
  <c r="L11" i="7"/>
  <c r="N5" i="7"/>
  <c r="N4" i="7"/>
  <c r="M4" i="7"/>
  <c r="F6" i="8"/>
  <c r="F7" i="8"/>
  <c r="F4" i="8"/>
  <c r="F3" i="8"/>
  <c r="F2" i="8"/>
  <c r="C4" i="8"/>
  <c r="P21" i="7"/>
  <c r="F11" i="8"/>
  <c r="F10" i="8"/>
  <c r="C11" i="8"/>
  <c r="F12" i="8"/>
  <c r="F5" i="8"/>
  <c r="C14" i="10" l="1"/>
  <c r="C16" i="10" s="1"/>
  <c r="C18" i="10" s="1"/>
  <c r="D17" i="10"/>
  <c r="C21" i="10"/>
  <c r="E12" i="10"/>
  <c r="D13" i="10"/>
  <c r="E13" i="10" s="1"/>
  <c r="F13" i="10" s="1"/>
  <c r="D185" i="6"/>
  <c r="C189" i="6"/>
  <c r="E180" i="6"/>
  <c r="D182" i="6"/>
  <c r="D184" i="6" s="1"/>
  <c r="D186" i="6" s="1"/>
  <c r="C182" i="6"/>
  <c r="C184" i="6" s="1"/>
  <c r="C186" i="6" s="1"/>
  <c r="C156" i="6"/>
  <c r="C158" i="6"/>
  <c r="D157" i="6"/>
  <c r="C161" i="6"/>
  <c r="E152" i="6"/>
  <c r="D153" i="6"/>
  <c r="E153" i="6" s="1"/>
  <c r="F153" i="6" s="1"/>
  <c r="E124" i="6"/>
  <c r="D126" i="6"/>
  <c r="D128" i="6" s="1"/>
  <c r="D130" i="6" s="1"/>
  <c r="D133" i="6"/>
  <c r="E129" i="6"/>
  <c r="C126" i="6"/>
  <c r="C128" i="6" s="1"/>
  <c r="C130" i="6" s="1"/>
  <c r="C103" i="6"/>
  <c r="C104" i="6" s="1"/>
  <c r="C107" i="6" s="1"/>
  <c r="F96" i="6"/>
  <c r="E101" i="6"/>
  <c r="D105" i="6"/>
  <c r="D97" i="6"/>
  <c r="C70" i="6"/>
  <c r="C72" i="6" s="1"/>
  <c r="C74" i="6" s="1"/>
  <c r="D73" i="6"/>
  <c r="C77" i="6"/>
  <c r="E68" i="6"/>
  <c r="D69" i="6"/>
  <c r="E69" i="6" s="1"/>
  <c r="F69" i="6" s="1"/>
  <c r="C42" i="6"/>
  <c r="C44" i="6" s="1"/>
  <c r="C46" i="6" s="1"/>
  <c r="C47" i="6" s="1"/>
  <c r="C48" i="6" s="1"/>
  <c r="C51" i="6" s="1"/>
  <c r="E40" i="6"/>
  <c r="D49" i="6"/>
  <c r="E45" i="6"/>
  <c r="D41" i="6"/>
  <c r="E41" i="6" s="1"/>
  <c r="F41" i="6" s="1"/>
  <c r="F14" i="6"/>
  <c r="F15" i="6" s="1"/>
  <c r="F17" i="6" s="1"/>
  <c r="E15" i="6"/>
  <c r="E17" i="6" s="1"/>
  <c r="E18" i="6" s="1"/>
  <c r="E19" i="6" s="1"/>
  <c r="E22" i="6" s="1"/>
  <c r="C18" i="6"/>
  <c r="C19" i="6" s="1"/>
  <c r="C22" i="6" s="1"/>
  <c r="D18" i="6"/>
  <c r="D19" i="6"/>
  <c r="D22" i="6" s="1"/>
  <c r="E47" i="5"/>
  <c r="F12" i="10" l="1"/>
  <c r="F14" i="10" s="1"/>
  <c r="F16" i="10" s="1"/>
  <c r="E14" i="10"/>
  <c r="E16" i="10" s="1"/>
  <c r="C19" i="10"/>
  <c r="C20" i="10" s="1"/>
  <c r="C23" i="10" s="1"/>
  <c r="D14" i="10"/>
  <c r="D16" i="10" s="1"/>
  <c r="D18" i="10" s="1"/>
  <c r="E17" i="10"/>
  <c r="D21" i="10"/>
  <c r="F180" i="6"/>
  <c r="F182" i="6" s="1"/>
  <c r="F184" i="6" s="1"/>
  <c r="E182" i="6"/>
  <c r="E184" i="6" s="1"/>
  <c r="C187" i="6"/>
  <c r="C188" i="6" s="1"/>
  <c r="C191" i="6" s="1"/>
  <c r="D187" i="6"/>
  <c r="D188" i="6" s="1"/>
  <c r="D189" i="6"/>
  <c r="E185" i="6"/>
  <c r="E157" i="6"/>
  <c r="D161" i="6"/>
  <c r="D154" i="6"/>
  <c r="D156" i="6" s="1"/>
  <c r="D158" i="6" s="1"/>
  <c r="F152" i="6"/>
  <c r="F154" i="6" s="1"/>
  <c r="F156" i="6" s="1"/>
  <c r="E154" i="6"/>
  <c r="E156" i="6" s="1"/>
  <c r="E158" i="6" s="1"/>
  <c r="C159" i="6"/>
  <c r="C160" i="6" s="1"/>
  <c r="C163" i="6" s="1"/>
  <c r="C131" i="6"/>
  <c r="C132" i="6" s="1"/>
  <c r="C135" i="6" s="1"/>
  <c r="F129" i="6"/>
  <c r="F133" i="6" s="1"/>
  <c r="E133" i="6"/>
  <c r="D131" i="6"/>
  <c r="D132" i="6" s="1"/>
  <c r="D135" i="6" s="1"/>
  <c r="F124" i="6"/>
  <c r="F126" i="6" s="1"/>
  <c r="F128" i="6" s="1"/>
  <c r="F130" i="6" s="1"/>
  <c r="E126" i="6"/>
  <c r="E128" i="6" s="1"/>
  <c r="E130" i="6" s="1"/>
  <c r="E97" i="6"/>
  <c r="D98" i="6"/>
  <c r="D100" i="6" s="1"/>
  <c r="D102" i="6" s="1"/>
  <c r="F101" i="6"/>
  <c r="F105" i="6" s="1"/>
  <c r="E105" i="6"/>
  <c r="C75" i="6"/>
  <c r="C76" i="6" s="1"/>
  <c r="C79" i="6" s="1"/>
  <c r="D70" i="6"/>
  <c r="D72" i="6" s="1"/>
  <c r="D74" i="6" s="1"/>
  <c r="F68" i="6"/>
  <c r="F70" i="6" s="1"/>
  <c r="F72" i="6" s="1"/>
  <c r="E70" i="6"/>
  <c r="E72" i="6" s="1"/>
  <c r="E73" i="6"/>
  <c r="D77" i="6"/>
  <c r="F45" i="6"/>
  <c r="F49" i="6" s="1"/>
  <c r="E49" i="6"/>
  <c r="D42" i="6"/>
  <c r="D44" i="6" s="1"/>
  <c r="D46" i="6" s="1"/>
  <c r="F40" i="6"/>
  <c r="F42" i="6" s="1"/>
  <c r="F44" i="6" s="1"/>
  <c r="F46" i="6" s="1"/>
  <c r="E42" i="6"/>
  <c r="E44" i="6" s="1"/>
  <c r="E46" i="6" s="1"/>
  <c r="F18" i="6"/>
  <c r="F19" i="6" s="1"/>
  <c r="F22" i="6" s="1"/>
  <c r="F4" i="7"/>
  <c r="G4" i="7"/>
  <c r="H4" i="7"/>
  <c r="F5" i="7"/>
  <c r="G5" i="7"/>
  <c r="H5" i="7"/>
  <c r="F6" i="7"/>
  <c r="G6" i="7"/>
  <c r="H6" i="7"/>
  <c r="F7" i="7"/>
  <c r="G7" i="7"/>
  <c r="H7" i="7"/>
  <c r="F8" i="7"/>
  <c r="G8" i="7"/>
  <c r="H8" i="7"/>
  <c r="F9" i="7"/>
  <c r="G9" i="7"/>
  <c r="H9" i="7"/>
  <c r="F10" i="7"/>
  <c r="G10" i="7"/>
  <c r="H10" i="7"/>
  <c r="F11" i="7"/>
  <c r="G11" i="7"/>
  <c r="H11" i="7"/>
  <c r="F12" i="7"/>
  <c r="G12" i="7"/>
  <c r="H12" i="7"/>
  <c r="F13" i="7"/>
  <c r="G13" i="7"/>
  <c r="H13" i="7"/>
  <c r="F14" i="7"/>
  <c r="G14" i="7"/>
  <c r="H14" i="7"/>
  <c r="F15" i="7"/>
  <c r="G15" i="7"/>
  <c r="H15" i="7"/>
  <c r="F16" i="7"/>
  <c r="G16" i="7"/>
  <c r="H16" i="7"/>
  <c r="F17" i="7"/>
  <c r="G17" i="7"/>
  <c r="H17" i="7"/>
  <c r="F18" i="7"/>
  <c r="G18" i="7"/>
  <c r="H18" i="7"/>
  <c r="F19" i="7"/>
  <c r="G19" i="7"/>
  <c r="H19" i="7"/>
  <c r="F20" i="7"/>
  <c r="G20" i="7"/>
  <c r="H20" i="7"/>
  <c r="F21" i="7"/>
  <c r="G21" i="7"/>
  <c r="H21" i="7"/>
  <c r="F22" i="7"/>
  <c r="G22" i="7"/>
  <c r="H22" i="7"/>
  <c r="F23" i="7"/>
  <c r="G23" i="7"/>
  <c r="H23" i="7"/>
  <c r="F24" i="7"/>
  <c r="G24" i="7"/>
  <c r="H24" i="7"/>
  <c r="F25" i="7"/>
  <c r="G25" i="7"/>
  <c r="H25" i="7"/>
  <c r="F26" i="7"/>
  <c r="G26" i="7"/>
  <c r="H26" i="7"/>
  <c r="F27" i="7"/>
  <c r="G27" i="7"/>
  <c r="H27" i="7"/>
  <c r="F28" i="7"/>
  <c r="G28" i="7"/>
  <c r="H28" i="7"/>
  <c r="F29" i="7"/>
  <c r="G29" i="7"/>
  <c r="H29" i="7"/>
  <c r="F30" i="7"/>
  <c r="G30" i="7"/>
  <c r="H30" i="7"/>
  <c r="F31" i="7"/>
  <c r="G31" i="7"/>
  <c r="H31" i="7"/>
  <c r="F32" i="7"/>
  <c r="G32" i="7"/>
  <c r="H32" i="7"/>
  <c r="F33" i="7"/>
  <c r="G33" i="7"/>
  <c r="H33" i="7"/>
  <c r="F34" i="7"/>
  <c r="G34" i="7"/>
  <c r="H34" i="7"/>
  <c r="F35" i="7"/>
  <c r="G35" i="7"/>
  <c r="H35" i="7"/>
  <c r="F36" i="7"/>
  <c r="G36" i="7"/>
  <c r="H36" i="7"/>
  <c r="F37" i="7"/>
  <c r="G37" i="7"/>
  <c r="H37" i="7"/>
  <c r="F38" i="7"/>
  <c r="G38" i="7"/>
  <c r="H38" i="7"/>
  <c r="F39" i="7"/>
  <c r="G39" i="7"/>
  <c r="H39" i="7"/>
  <c r="F40" i="7"/>
  <c r="G40" i="7"/>
  <c r="H40" i="7"/>
  <c r="F41" i="7"/>
  <c r="G41" i="7"/>
  <c r="H41" i="7"/>
  <c r="F42" i="7"/>
  <c r="G42" i="7"/>
  <c r="H42" i="7"/>
  <c r="F43" i="7"/>
  <c r="G43" i="7"/>
  <c r="H43" i="7"/>
  <c r="F44" i="7"/>
  <c r="G44" i="7"/>
  <c r="H44" i="7"/>
  <c r="F45" i="7"/>
  <c r="G45" i="7"/>
  <c r="H45" i="7"/>
  <c r="F46" i="7"/>
  <c r="G46" i="7"/>
  <c r="H46" i="7"/>
  <c r="F47" i="7"/>
  <c r="G47" i="7"/>
  <c r="H47" i="7"/>
  <c r="F48" i="7"/>
  <c r="G48" i="7"/>
  <c r="H48" i="7"/>
  <c r="F49" i="7"/>
  <c r="G49" i="7"/>
  <c r="H49" i="7"/>
  <c r="F50" i="7"/>
  <c r="G50" i="7"/>
  <c r="H50" i="7"/>
  <c r="F51" i="7"/>
  <c r="G51" i="7"/>
  <c r="H51" i="7"/>
  <c r="F52" i="7"/>
  <c r="G52" i="7"/>
  <c r="H52" i="7"/>
  <c r="F53" i="7"/>
  <c r="G53" i="7"/>
  <c r="H53" i="7"/>
  <c r="F54" i="7"/>
  <c r="G54" i="7"/>
  <c r="H54" i="7"/>
  <c r="F55" i="7"/>
  <c r="G55" i="7"/>
  <c r="H55" i="7"/>
  <c r="F56" i="7"/>
  <c r="G56" i="7"/>
  <c r="H56" i="7"/>
  <c r="F57" i="7"/>
  <c r="G57" i="7"/>
  <c r="H57" i="7"/>
  <c r="F58" i="7"/>
  <c r="G58" i="7"/>
  <c r="H58" i="7"/>
  <c r="F59" i="7"/>
  <c r="G59" i="7"/>
  <c r="H59" i="7"/>
  <c r="F60" i="7"/>
  <c r="G60" i="7"/>
  <c r="H60" i="7"/>
  <c r="F61" i="7"/>
  <c r="G61" i="7"/>
  <c r="H61" i="7"/>
  <c r="F62" i="7"/>
  <c r="G62" i="7"/>
  <c r="H62" i="7"/>
  <c r="F63" i="7"/>
  <c r="G63" i="7"/>
  <c r="H63" i="7"/>
  <c r="F64" i="7"/>
  <c r="G64" i="7"/>
  <c r="H64" i="7"/>
  <c r="F65" i="7"/>
  <c r="G65" i="7"/>
  <c r="H65" i="7"/>
  <c r="F66" i="7"/>
  <c r="G66" i="7"/>
  <c r="H66" i="7"/>
  <c r="F67" i="7"/>
  <c r="G67" i="7"/>
  <c r="H67" i="7"/>
  <c r="F68" i="7"/>
  <c r="G68" i="7"/>
  <c r="H68" i="7"/>
  <c r="F69" i="7"/>
  <c r="G69" i="7"/>
  <c r="H69" i="7"/>
  <c r="F70" i="7"/>
  <c r="G70" i="7"/>
  <c r="H70" i="7"/>
  <c r="F71" i="7"/>
  <c r="G71" i="7"/>
  <c r="H71" i="7"/>
  <c r="F72" i="7"/>
  <c r="G72" i="7"/>
  <c r="H72" i="7"/>
  <c r="F73" i="7"/>
  <c r="G73" i="7"/>
  <c r="H73" i="7"/>
  <c r="F74" i="7"/>
  <c r="G74" i="7"/>
  <c r="H74" i="7"/>
  <c r="F75" i="7"/>
  <c r="G75" i="7"/>
  <c r="H75" i="7"/>
  <c r="F76" i="7"/>
  <c r="G76" i="7"/>
  <c r="H76" i="7"/>
  <c r="F77" i="7"/>
  <c r="G77" i="7"/>
  <c r="H77" i="7"/>
  <c r="F78" i="7"/>
  <c r="G78" i="7"/>
  <c r="H78" i="7"/>
  <c r="F79" i="7"/>
  <c r="G79" i="7"/>
  <c r="H79" i="7"/>
  <c r="F80" i="7"/>
  <c r="G80" i="7"/>
  <c r="H80" i="7"/>
  <c r="F81" i="7"/>
  <c r="G81" i="7"/>
  <c r="H81" i="7"/>
  <c r="F82" i="7"/>
  <c r="G82" i="7"/>
  <c r="H82" i="7"/>
  <c r="F83" i="7"/>
  <c r="G83" i="7"/>
  <c r="H83" i="7"/>
  <c r="F84" i="7"/>
  <c r="G84" i="7"/>
  <c r="H84" i="7"/>
  <c r="F85" i="7"/>
  <c r="G85" i="7"/>
  <c r="H85" i="7"/>
  <c r="G3" i="7"/>
  <c r="H3" i="7"/>
  <c r="F3" i="7"/>
  <c r="F35" i="5"/>
  <c r="E34" i="5"/>
  <c r="E35" i="5" s="1"/>
  <c r="E33" i="5"/>
  <c r="E32" i="5"/>
  <c r="D33" i="5"/>
  <c r="D34" i="5"/>
  <c r="D35" i="5"/>
  <c r="D32" i="5"/>
  <c r="F2" i="5"/>
  <c r="E18" i="5" s="1"/>
  <c r="E19" i="5"/>
  <c r="E20" i="5"/>
  <c r="E21" i="5"/>
  <c r="E23" i="5"/>
  <c r="E24" i="5"/>
  <c r="E25" i="5"/>
  <c r="E26" i="5"/>
  <c r="D18" i="5"/>
  <c r="D19" i="5"/>
  <c r="D20" i="5"/>
  <c r="D21" i="5"/>
  <c r="D22" i="5"/>
  <c r="D23" i="5"/>
  <c r="D24" i="5"/>
  <c r="D25" i="5"/>
  <c r="D26" i="5"/>
  <c r="E27" i="5"/>
  <c r="D27" i="5"/>
  <c r="E17" i="5"/>
  <c r="D17" i="5"/>
  <c r="E12" i="5"/>
  <c r="D12" i="5"/>
  <c r="C13" i="5"/>
  <c r="B13" i="5"/>
  <c r="C8" i="5"/>
  <c r="C9" i="5"/>
  <c r="B9" i="5"/>
  <c r="B8" i="5"/>
  <c r="G37" i="3"/>
  <c r="G38" i="3"/>
  <c r="G36" i="3"/>
  <c r="J19" i="3"/>
  <c r="H18" i="3"/>
  <c r="C30" i="3"/>
  <c r="D30" i="3"/>
  <c r="C31" i="3"/>
  <c r="D31" i="3"/>
  <c r="C32" i="3"/>
  <c r="D32" i="3"/>
  <c r="B32" i="3"/>
  <c r="B31" i="3"/>
  <c r="B30" i="3"/>
  <c r="J15" i="3"/>
  <c r="I15" i="3"/>
  <c r="H15" i="3"/>
  <c r="C15" i="3"/>
  <c r="D15" i="3"/>
  <c r="B15" i="3"/>
  <c r="D20" i="3"/>
  <c r="C20" i="3"/>
  <c r="D19" i="3"/>
  <c r="D18" i="3"/>
  <c r="C19" i="3"/>
  <c r="C18" i="3"/>
  <c r="I14" i="3"/>
  <c r="J14" i="3"/>
  <c r="H14" i="3"/>
  <c r="C14" i="3"/>
  <c r="D14" i="3"/>
  <c r="B14" i="3"/>
  <c r="I13" i="3"/>
  <c r="J13" i="3"/>
  <c r="H13" i="3"/>
  <c r="C13" i="3"/>
  <c r="D13" i="3"/>
  <c r="B13" i="3"/>
  <c r="H10" i="3"/>
  <c r="I10" i="3"/>
  <c r="J10" i="3"/>
  <c r="H11" i="3"/>
  <c r="I11" i="3"/>
  <c r="J11" i="3"/>
  <c r="I9" i="3"/>
  <c r="J9" i="3"/>
  <c r="H9" i="3"/>
  <c r="C10" i="3"/>
  <c r="D10" i="3"/>
  <c r="C11" i="3"/>
  <c r="D11" i="3"/>
  <c r="B11" i="3"/>
  <c r="B10" i="3"/>
  <c r="D9" i="3"/>
  <c r="C9" i="3"/>
  <c r="B9" i="3"/>
  <c r="L118" i="4"/>
  <c r="I118" i="4"/>
  <c r="F118" i="4"/>
  <c r="C118" i="4"/>
  <c r="L117" i="4"/>
  <c r="I117" i="4"/>
  <c r="F117" i="4"/>
  <c r="C117" i="4"/>
  <c r="L116" i="4"/>
  <c r="I116" i="4"/>
  <c r="F116" i="4"/>
  <c r="C116" i="4"/>
  <c r="L115" i="4"/>
  <c r="I115" i="4"/>
  <c r="F115" i="4"/>
  <c r="C115" i="4"/>
  <c r="L114" i="4"/>
  <c r="I114" i="4"/>
  <c r="F114" i="4"/>
  <c r="C114" i="4"/>
  <c r="L113" i="4"/>
  <c r="I113" i="4"/>
  <c r="F113" i="4"/>
  <c r="C113" i="4"/>
  <c r="L112" i="4"/>
  <c r="I112" i="4"/>
  <c r="F112" i="4"/>
  <c r="C112" i="4"/>
  <c r="L111" i="4"/>
  <c r="I111" i="4"/>
  <c r="F111" i="4"/>
  <c r="C111" i="4"/>
  <c r="L110" i="4"/>
  <c r="I110" i="4"/>
  <c r="F110" i="4"/>
  <c r="C110" i="4"/>
  <c r="L109" i="4"/>
  <c r="I109" i="4"/>
  <c r="F109" i="4"/>
  <c r="C109" i="4"/>
  <c r="L108" i="4"/>
  <c r="I108" i="4"/>
  <c r="F108" i="4"/>
  <c r="C108" i="4"/>
  <c r="L107" i="4"/>
  <c r="I107" i="4"/>
  <c r="F107" i="4"/>
  <c r="C107" i="4"/>
  <c r="L106" i="4"/>
  <c r="I106" i="4"/>
  <c r="F106" i="4"/>
  <c r="C106" i="4"/>
  <c r="L105" i="4"/>
  <c r="I105" i="4"/>
  <c r="F105" i="4"/>
  <c r="C105" i="4"/>
  <c r="L104" i="4"/>
  <c r="I104" i="4"/>
  <c r="F104" i="4"/>
  <c r="C104" i="4"/>
  <c r="L103" i="4"/>
  <c r="I103" i="4"/>
  <c r="F103" i="4"/>
  <c r="C103" i="4"/>
  <c r="L102" i="4"/>
  <c r="I102" i="4"/>
  <c r="F102" i="4"/>
  <c r="C102" i="4"/>
  <c r="L101" i="4"/>
  <c r="I101" i="4"/>
  <c r="F101" i="4"/>
  <c r="C101" i="4"/>
  <c r="L100" i="4"/>
  <c r="I100" i="4"/>
  <c r="F100" i="4"/>
  <c r="C100" i="4"/>
  <c r="L99" i="4"/>
  <c r="I99" i="4"/>
  <c r="F99" i="4"/>
  <c r="C99" i="4"/>
  <c r="L98" i="4"/>
  <c r="I98" i="4"/>
  <c r="F98" i="4"/>
  <c r="C98" i="4"/>
  <c r="L97" i="4"/>
  <c r="I97" i="4"/>
  <c r="F97" i="4"/>
  <c r="C97" i="4"/>
  <c r="L96" i="4"/>
  <c r="I96" i="4"/>
  <c r="F96" i="4"/>
  <c r="C96" i="4"/>
  <c r="L95" i="4"/>
  <c r="I95" i="4"/>
  <c r="F95" i="4"/>
  <c r="C95" i="4"/>
  <c r="L94" i="4"/>
  <c r="I94" i="4"/>
  <c r="F94" i="4"/>
  <c r="C94" i="4"/>
  <c r="L93" i="4"/>
  <c r="I93" i="4"/>
  <c r="F93" i="4"/>
  <c r="C93" i="4"/>
  <c r="L92" i="4"/>
  <c r="I92" i="4"/>
  <c r="F92" i="4"/>
  <c r="C92" i="4"/>
  <c r="L91" i="4"/>
  <c r="I91" i="4"/>
  <c r="F91" i="4"/>
  <c r="C91" i="4"/>
  <c r="L90" i="4"/>
  <c r="I90" i="4"/>
  <c r="F90" i="4"/>
  <c r="C90" i="4"/>
  <c r="L89" i="4"/>
  <c r="I89" i="4"/>
  <c r="F89" i="4"/>
  <c r="C89" i="4"/>
  <c r="L88" i="4"/>
  <c r="I88" i="4"/>
  <c r="F88" i="4"/>
  <c r="C88" i="4"/>
  <c r="L87" i="4"/>
  <c r="I87" i="4"/>
  <c r="F87" i="4"/>
  <c r="C87" i="4"/>
  <c r="L86" i="4"/>
  <c r="I86" i="4"/>
  <c r="F86" i="4"/>
  <c r="C86" i="4"/>
  <c r="L85" i="4"/>
  <c r="I85" i="4"/>
  <c r="F85" i="4"/>
  <c r="C85" i="4"/>
  <c r="L84" i="4"/>
  <c r="I84" i="4"/>
  <c r="F84" i="4"/>
  <c r="C84" i="4"/>
  <c r="L83" i="4"/>
  <c r="I83" i="4"/>
  <c r="F83" i="4"/>
  <c r="C83" i="4"/>
  <c r="L82" i="4"/>
  <c r="I82" i="4"/>
  <c r="F82" i="4"/>
  <c r="C82" i="4"/>
  <c r="L81" i="4"/>
  <c r="I81" i="4"/>
  <c r="F81" i="4"/>
  <c r="C81" i="4"/>
  <c r="L80" i="4"/>
  <c r="I80" i="4"/>
  <c r="F80" i="4"/>
  <c r="C80" i="4"/>
  <c r="L79" i="4"/>
  <c r="I79" i="4"/>
  <c r="F79" i="4"/>
  <c r="C79" i="4"/>
  <c r="L78" i="4"/>
  <c r="I78" i="4"/>
  <c r="F78" i="4"/>
  <c r="C78" i="4"/>
  <c r="L77" i="4"/>
  <c r="I77" i="4"/>
  <c r="F77" i="4"/>
  <c r="C77" i="4"/>
  <c r="L76" i="4"/>
  <c r="I76" i="4"/>
  <c r="F76" i="4"/>
  <c r="C76" i="4"/>
  <c r="L75" i="4"/>
  <c r="I75" i="4"/>
  <c r="F75" i="4"/>
  <c r="C75" i="4"/>
  <c r="L74" i="4"/>
  <c r="I74" i="4"/>
  <c r="F74" i="4"/>
  <c r="C74" i="4"/>
  <c r="L73" i="4"/>
  <c r="I73" i="4"/>
  <c r="F73" i="4"/>
  <c r="C73" i="4"/>
  <c r="L72" i="4"/>
  <c r="I72" i="4"/>
  <c r="F72" i="4"/>
  <c r="C72" i="4"/>
  <c r="L71" i="4"/>
  <c r="I71" i="4"/>
  <c r="F71" i="4"/>
  <c r="C71" i="4"/>
  <c r="L70" i="4"/>
  <c r="I70" i="4"/>
  <c r="F70" i="4"/>
  <c r="C70" i="4"/>
  <c r="L69" i="4"/>
  <c r="I69" i="4"/>
  <c r="F69" i="4"/>
  <c r="C69" i="4"/>
  <c r="L68" i="4"/>
  <c r="I68" i="4"/>
  <c r="F68" i="4"/>
  <c r="C68" i="4"/>
  <c r="L67" i="4"/>
  <c r="I67" i="4"/>
  <c r="F67" i="4"/>
  <c r="C67" i="4"/>
  <c r="L66" i="4"/>
  <c r="I66" i="4"/>
  <c r="F66" i="4"/>
  <c r="C66" i="4"/>
  <c r="L65" i="4"/>
  <c r="I65" i="4"/>
  <c r="F65" i="4"/>
  <c r="C65" i="4"/>
  <c r="L64" i="4"/>
  <c r="I64" i="4"/>
  <c r="F64" i="4"/>
  <c r="C64" i="4"/>
  <c r="L63" i="4"/>
  <c r="I63" i="4"/>
  <c r="F63" i="4"/>
  <c r="C63" i="4"/>
  <c r="L62" i="4"/>
  <c r="I62" i="4"/>
  <c r="F62" i="4"/>
  <c r="C62" i="4"/>
  <c r="L61" i="4"/>
  <c r="I61" i="4"/>
  <c r="F61" i="4"/>
  <c r="C61" i="4"/>
  <c r="L60" i="4"/>
  <c r="I60" i="4"/>
  <c r="F60" i="4"/>
  <c r="C60" i="4"/>
  <c r="L59" i="4"/>
  <c r="I59" i="4"/>
  <c r="F59" i="4"/>
  <c r="C59" i="4"/>
  <c r="L58" i="4"/>
  <c r="I58" i="4"/>
  <c r="F58" i="4"/>
  <c r="C58" i="4"/>
  <c r="L57" i="4"/>
  <c r="I57" i="4"/>
  <c r="F57" i="4"/>
  <c r="C57" i="4"/>
  <c r="L56" i="4"/>
  <c r="I56" i="4"/>
  <c r="F56" i="4"/>
  <c r="C56" i="4"/>
  <c r="L55" i="4"/>
  <c r="I55" i="4"/>
  <c r="F55" i="4"/>
  <c r="C55" i="4"/>
  <c r="L54" i="4"/>
  <c r="I54" i="4"/>
  <c r="F54" i="4"/>
  <c r="C54" i="4"/>
  <c r="L53" i="4"/>
  <c r="I53" i="4"/>
  <c r="F53" i="4"/>
  <c r="C53" i="4"/>
  <c r="L52" i="4"/>
  <c r="I52" i="4"/>
  <c r="F52" i="4"/>
  <c r="C52" i="4"/>
  <c r="L51" i="4"/>
  <c r="I51" i="4"/>
  <c r="F51" i="4"/>
  <c r="C51" i="4"/>
  <c r="L50" i="4"/>
  <c r="I50" i="4"/>
  <c r="F50" i="4"/>
  <c r="C50" i="4"/>
  <c r="L49" i="4"/>
  <c r="I49" i="4"/>
  <c r="F49" i="4"/>
  <c r="C49" i="4"/>
  <c r="L48" i="4"/>
  <c r="I48" i="4"/>
  <c r="F48" i="4"/>
  <c r="C48" i="4"/>
  <c r="L47" i="4"/>
  <c r="I47" i="4"/>
  <c r="F47" i="4"/>
  <c r="C47" i="4"/>
  <c r="L46" i="4"/>
  <c r="I46" i="4"/>
  <c r="F46" i="4"/>
  <c r="C46" i="4"/>
  <c r="L45" i="4"/>
  <c r="I45" i="4"/>
  <c r="F45" i="4"/>
  <c r="C45" i="4"/>
  <c r="L44" i="4"/>
  <c r="I44" i="4"/>
  <c r="F44" i="4"/>
  <c r="C44" i="4"/>
  <c r="L43" i="4"/>
  <c r="I43" i="4"/>
  <c r="F43" i="4"/>
  <c r="C43" i="4"/>
  <c r="L42" i="4"/>
  <c r="I42" i="4"/>
  <c r="F42" i="4"/>
  <c r="C42" i="4"/>
  <c r="L41" i="4"/>
  <c r="I41" i="4"/>
  <c r="F41" i="4"/>
  <c r="C41" i="4"/>
  <c r="L40" i="4"/>
  <c r="I40" i="4"/>
  <c r="F40" i="4"/>
  <c r="C40" i="4"/>
  <c r="L39" i="4"/>
  <c r="I39" i="4"/>
  <c r="F39" i="4"/>
  <c r="C39" i="4"/>
  <c r="L38" i="4"/>
  <c r="I38" i="4"/>
  <c r="F38" i="4"/>
  <c r="C38" i="4"/>
  <c r="L37" i="4"/>
  <c r="I37" i="4"/>
  <c r="F37" i="4"/>
  <c r="C37" i="4"/>
  <c r="L36" i="4"/>
  <c r="I36" i="4"/>
  <c r="F36" i="4"/>
  <c r="C36" i="4"/>
  <c r="L35" i="4"/>
  <c r="I35" i="4"/>
  <c r="F35" i="4"/>
  <c r="C35" i="4"/>
  <c r="L34" i="4"/>
  <c r="I34" i="4"/>
  <c r="F34" i="4"/>
  <c r="C34" i="4"/>
  <c r="L33" i="4"/>
  <c r="I33" i="4"/>
  <c r="F33" i="4"/>
  <c r="C33" i="4"/>
  <c r="L32" i="4"/>
  <c r="I32" i="4"/>
  <c r="F32" i="4"/>
  <c r="C32" i="4"/>
  <c r="L31" i="4"/>
  <c r="I31" i="4"/>
  <c r="F31" i="4"/>
  <c r="C31" i="4"/>
  <c r="L30" i="4"/>
  <c r="I30" i="4"/>
  <c r="F30" i="4"/>
  <c r="C30" i="4"/>
  <c r="L29" i="4"/>
  <c r="I29" i="4"/>
  <c r="F29" i="4"/>
  <c r="C29" i="4"/>
  <c r="L28" i="4"/>
  <c r="I28" i="4"/>
  <c r="F28" i="4"/>
  <c r="C28" i="4"/>
  <c r="L27" i="4"/>
  <c r="I27" i="4"/>
  <c r="F27" i="4"/>
  <c r="C27" i="4"/>
  <c r="L26" i="4"/>
  <c r="I26" i="4"/>
  <c r="F26" i="4"/>
  <c r="C26" i="4"/>
  <c r="L25" i="4"/>
  <c r="I25" i="4"/>
  <c r="F25" i="4"/>
  <c r="C25" i="4"/>
  <c r="L24" i="4"/>
  <c r="I24" i="4"/>
  <c r="F24" i="4"/>
  <c r="C24" i="4"/>
  <c r="L23" i="4"/>
  <c r="I23" i="4"/>
  <c r="F23" i="4"/>
  <c r="C23" i="4"/>
  <c r="L22" i="4"/>
  <c r="I22" i="4"/>
  <c r="F22" i="4"/>
  <c r="C22" i="4"/>
  <c r="L21" i="4"/>
  <c r="I21" i="4"/>
  <c r="F21" i="4"/>
  <c r="C21" i="4"/>
  <c r="L20" i="4"/>
  <c r="I20" i="4"/>
  <c r="F20" i="4"/>
  <c r="C20" i="4"/>
  <c r="L19" i="4"/>
  <c r="I19" i="4"/>
  <c r="F19" i="4"/>
  <c r="C19" i="4"/>
  <c r="L18" i="4"/>
  <c r="I18" i="4"/>
  <c r="F18" i="4"/>
  <c r="C18" i="4"/>
  <c r="L17" i="4"/>
  <c r="I17" i="4"/>
  <c r="F17" i="4"/>
  <c r="C17" i="4"/>
  <c r="L16" i="4"/>
  <c r="I16" i="4"/>
  <c r="F16" i="4"/>
  <c r="C16" i="4"/>
  <c r="L15" i="4"/>
  <c r="I15" i="4"/>
  <c r="F15" i="4"/>
  <c r="C15" i="4"/>
  <c r="L14" i="4"/>
  <c r="I14" i="4"/>
  <c r="F14" i="4"/>
  <c r="C14" i="4"/>
  <c r="L13" i="4"/>
  <c r="I13" i="4"/>
  <c r="F13" i="4"/>
  <c r="C13" i="4"/>
  <c r="L12" i="4"/>
  <c r="I12" i="4"/>
  <c r="F12" i="4"/>
  <c r="C12" i="4"/>
  <c r="L11" i="4"/>
  <c r="I11" i="4"/>
  <c r="F11" i="4"/>
  <c r="C11" i="4"/>
  <c r="L10" i="4"/>
  <c r="I10" i="4"/>
  <c r="F10" i="4"/>
  <c r="C10" i="4"/>
  <c r="L9" i="4"/>
  <c r="I9" i="4"/>
  <c r="F9" i="4"/>
  <c r="C9" i="4"/>
  <c r="L8" i="4"/>
  <c r="I8" i="4"/>
  <c r="F8" i="4"/>
  <c r="C8" i="4"/>
  <c r="L7" i="4"/>
  <c r="I7" i="4"/>
  <c r="F7" i="4"/>
  <c r="C7" i="4"/>
  <c r="L6" i="4"/>
  <c r="I6" i="4"/>
  <c r="F6" i="4"/>
  <c r="C6" i="4"/>
  <c r="L5" i="4"/>
  <c r="I5" i="4"/>
  <c r="F5" i="4"/>
  <c r="C5" i="4"/>
  <c r="L4" i="4"/>
  <c r="I4" i="4"/>
  <c r="F4" i="4"/>
  <c r="C4" i="4"/>
  <c r="L3" i="4"/>
  <c r="I3" i="4"/>
  <c r="F3" i="4"/>
  <c r="C3" i="4"/>
  <c r="O2" i="4"/>
  <c r="D3" i="1"/>
  <c r="D4" i="1"/>
  <c r="D2" i="1"/>
  <c r="K11" i="3"/>
  <c r="K9" i="3"/>
  <c r="E11" i="3"/>
  <c r="H38" i="3"/>
  <c r="K10" i="3"/>
  <c r="E10" i="3"/>
  <c r="E9" i="3"/>
  <c r="D13" i="5"/>
  <c r="D9" i="5"/>
  <c r="H37" i="3"/>
  <c r="D8" i="5"/>
  <c r="H36" i="3"/>
  <c r="K19" i="3"/>
  <c r="I18" i="3"/>
  <c r="K14" i="3"/>
  <c r="E14" i="3"/>
  <c r="K13" i="3"/>
  <c r="E13" i="3"/>
  <c r="G2" i="5"/>
  <c r="F17" i="10" l="1"/>
  <c r="F21" i="10" s="1"/>
  <c r="E21" i="10"/>
  <c r="D19" i="10"/>
  <c r="D20" i="10" s="1"/>
  <c r="D23" i="10" s="1"/>
  <c r="E18" i="10"/>
  <c r="D191" i="6"/>
  <c r="F185" i="6"/>
  <c r="F189" i="6" s="1"/>
  <c r="E189" i="6"/>
  <c r="E186" i="6"/>
  <c r="E159" i="6"/>
  <c r="E160" i="6" s="1"/>
  <c r="D159" i="6"/>
  <c r="D160" i="6" s="1"/>
  <c r="D163" i="6" s="1"/>
  <c r="F157" i="6"/>
  <c r="F161" i="6" s="1"/>
  <c r="E161" i="6"/>
  <c r="E131" i="6"/>
  <c r="E132" i="6" s="1"/>
  <c r="E135" i="6" s="1"/>
  <c r="F131" i="6"/>
  <c r="F132" i="6" s="1"/>
  <c r="F135" i="6" s="1"/>
  <c r="D103" i="6"/>
  <c r="D104" i="6" s="1"/>
  <c r="D107" i="6" s="1"/>
  <c r="F97" i="6"/>
  <c r="F98" i="6" s="1"/>
  <c r="F100" i="6" s="1"/>
  <c r="F102" i="6" s="1"/>
  <c r="E98" i="6"/>
  <c r="E100" i="6" s="1"/>
  <c r="E102" i="6" s="1"/>
  <c r="E77" i="6"/>
  <c r="F73" i="6"/>
  <c r="F77" i="6" s="1"/>
  <c r="E74" i="6"/>
  <c r="F74" i="6"/>
  <c r="D75" i="6"/>
  <c r="D76" i="6" s="1"/>
  <c r="D79" i="6" s="1"/>
  <c r="E47" i="6"/>
  <c r="E48" i="6" s="1"/>
  <c r="E51" i="6" s="1"/>
  <c r="F47" i="6"/>
  <c r="F48" i="6"/>
  <c r="F51" i="6" s="1"/>
  <c r="D47" i="6"/>
  <c r="D48" i="6" s="1"/>
  <c r="D51" i="6" s="1"/>
  <c r="E22" i="5"/>
  <c r="F18" i="10" l="1"/>
  <c r="F19" i="10" s="1"/>
  <c r="F20" i="10" s="1"/>
  <c r="F23" i="10" s="1"/>
  <c r="E19" i="10"/>
  <c r="E20" i="10" s="1"/>
  <c r="E23" i="10" s="1"/>
  <c r="F186" i="6"/>
  <c r="E187" i="6"/>
  <c r="E188" i="6"/>
  <c r="E191" i="6" s="1"/>
  <c r="F158" i="6"/>
  <c r="E163" i="6"/>
  <c r="B138" i="6"/>
  <c r="B137" i="6"/>
  <c r="E103" i="6"/>
  <c r="E104" i="6" s="1"/>
  <c r="E107" i="6" s="1"/>
  <c r="F103" i="6"/>
  <c r="F104" i="6"/>
  <c r="F107" i="6" s="1"/>
  <c r="F75" i="6"/>
  <c r="F76" i="6" s="1"/>
  <c r="F79" i="6" s="1"/>
  <c r="E75" i="6"/>
  <c r="E76" i="6" s="1"/>
  <c r="E79" i="6" s="1"/>
  <c r="B82" i="6" s="1"/>
  <c r="B54" i="6"/>
  <c r="B53" i="6"/>
  <c r="B26" i="10" l="1"/>
  <c r="B25" i="10"/>
  <c r="F187" i="6"/>
  <c r="F188" i="6"/>
  <c r="F191" i="6" s="1"/>
  <c r="B194" i="6" s="1"/>
  <c r="F159" i="6"/>
  <c r="F160" i="6" s="1"/>
  <c r="F163" i="6" s="1"/>
  <c r="B109" i="6"/>
  <c r="B110" i="6"/>
  <c r="B81" i="6"/>
  <c r="B193" i="6" l="1"/>
  <c r="B166" i="6"/>
  <c r="B16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<sst xmlns="http://schemas.openxmlformats.org/spreadsheetml/2006/main" count="520" uniqueCount="194">
  <si>
    <t>Créditos</t>
  </si>
  <si>
    <t>A</t>
  </si>
  <si>
    <t>B</t>
  </si>
  <si>
    <t>C</t>
  </si>
  <si>
    <t>Exposição</t>
  </si>
  <si>
    <t>Prob. Não Default</t>
  </si>
  <si>
    <t>Taxa Recuperação</t>
  </si>
  <si>
    <t>Risco Operacional</t>
  </si>
  <si>
    <t>Núm. Eventos</t>
  </si>
  <si>
    <t>Probabilidades</t>
  </si>
  <si>
    <t>Magnitude</t>
  </si>
  <si>
    <t>Período</t>
  </si>
  <si>
    <t>PETR4</t>
  </si>
  <si>
    <t>IBOVESPA</t>
  </si>
  <si>
    <t>Café Arábica</t>
  </si>
  <si>
    <t>Data</t>
  </si>
  <si>
    <t>ibov</t>
  </si>
  <si>
    <t>Dólar</t>
  </si>
  <si>
    <t>petr4</t>
  </si>
  <si>
    <t>vale3</t>
  </si>
  <si>
    <t>Ativo A</t>
  </si>
  <si>
    <t>Ativo B</t>
  </si>
  <si>
    <t>Ano 1</t>
  </si>
  <si>
    <t>Correlação</t>
  </si>
  <si>
    <t>Ano 2</t>
  </si>
  <si>
    <t>Ano 3</t>
  </si>
  <si>
    <t>Ano 4</t>
  </si>
  <si>
    <t>Ano 5</t>
  </si>
  <si>
    <t>Fluxo de Caixa Original</t>
  </si>
  <si>
    <t>Ano 0</t>
  </si>
  <si>
    <t>Retornos DISCRETOS</t>
  </si>
  <si>
    <t>Retornos CONTÍNUOS</t>
  </si>
  <si>
    <t>Média</t>
  </si>
  <si>
    <t>Desvio Padrão</t>
  </si>
  <si>
    <t>Retorno Médio</t>
  </si>
  <si>
    <t>RISCO</t>
  </si>
  <si>
    <t>VOLATILIDADE</t>
  </si>
  <si>
    <t xml:space="preserve">Preço </t>
  </si>
  <si>
    <t>Ret. Discreto</t>
  </si>
  <si>
    <t>Ret. Contínuo</t>
  </si>
  <si>
    <t>CV</t>
  </si>
  <si>
    <t>Volat. Mensal</t>
  </si>
  <si>
    <t>Volat. Anual</t>
  </si>
  <si>
    <t>Volat. Mensal x Raiz(12)</t>
  </si>
  <si>
    <t>Volat. Diária x Raiz(252)</t>
  </si>
  <si>
    <t>Código de Negociação</t>
  </si>
  <si>
    <t>Nome</t>
  </si>
  <si>
    <t>Especificação</t>
  </si>
  <si>
    <t>Volatilidade Anualizada (%)</t>
  </si>
  <si>
    <t>AALR3</t>
  </si>
  <si>
    <t>ALLIAR</t>
  </si>
  <si>
    <t>ON NM</t>
  </si>
  <si>
    <t>ABCB4</t>
  </si>
  <si>
    <t>ABC BRASIL</t>
  </si>
  <si>
    <t>PN N2</t>
  </si>
  <si>
    <t>Risco</t>
  </si>
  <si>
    <t>Carteira</t>
  </si>
  <si>
    <t>Pesos</t>
  </si>
  <si>
    <t>Ret. Carteira</t>
  </si>
  <si>
    <t>Risco Carteira</t>
  </si>
  <si>
    <t>Simulação</t>
  </si>
  <si>
    <t>Peso_A</t>
  </si>
  <si>
    <t>Peso_B</t>
  </si>
  <si>
    <t>* -1 &lt; = Correlação &lt; + 1</t>
  </si>
  <si>
    <t>Date</t>
  </si>
  <si>
    <t>embr3</t>
  </si>
  <si>
    <t>Matriz de correlações</t>
  </si>
  <si>
    <t>Matriz de Covariancias</t>
  </si>
  <si>
    <t>Retornos</t>
  </si>
  <si>
    <t>Riscos</t>
  </si>
  <si>
    <t>Carteira de Mínimo Risco</t>
  </si>
  <si>
    <t>Peso TOTAL</t>
  </si>
  <si>
    <t>Carteira Ótima</t>
  </si>
  <si>
    <t>Risk Free</t>
  </si>
  <si>
    <t>Ind. Sharpe</t>
  </si>
  <si>
    <t>Maximizar o Indice de Sharpe</t>
  </si>
  <si>
    <t>Retorno para uma Campanha de Email Marketing</t>
  </si>
  <si>
    <t>Emails Enviados</t>
  </si>
  <si>
    <t>Total de Erros</t>
  </si>
  <si>
    <t>Emails Efetivamente Enviados</t>
  </si>
  <si>
    <t>Compras Efetivas</t>
  </si>
  <si>
    <t>Ticket Médio (Valor Médio das Compras)</t>
  </si>
  <si>
    <t>Custo da Campanha</t>
  </si>
  <si>
    <t>Margem Bruta</t>
  </si>
  <si>
    <t>Imposto de Renda</t>
  </si>
  <si>
    <t>MÉTRICAS DE DESEMPENHO</t>
  </si>
  <si>
    <t>Taxa de Erros</t>
  </si>
  <si>
    <t>Taxa de Cliques (CTR -Click Through Rate)</t>
  </si>
  <si>
    <t>Taxa de Conversão</t>
  </si>
  <si>
    <t>Custo por Lead Captado</t>
  </si>
  <si>
    <t>Cliques - Pessoas que clicaram no anúncio (Lead - Clientes Potenciais)</t>
  </si>
  <si>
    <t>Leads por Venda - LPV</t>
  </si>
  <si>
    <t>Custo por Venda</t>
  </si>
  <si>
    <t>Exposição Dado Default</t>
  </si>
  <si>
    <t>Perda de Crédito</t>
  </si>
  <si>
    <t>Prob Default (PD)</t>
  </si>
  <si>
    <t>TOTAL</t>
  </si>
  <si>
    <t>PERDA ESPERADA</t>
  </si>
  <si>
    <t>Qual a perda NÃO ESPERADA??</t>
  </si>
  <si>
    <t>DISTRIBUIÇÃO DE PERDAS</t>
  </si>
  <si>
    <t>Núm. Perdas</t>
  </si>
  <si>
    <t>Perda A</t>
  </si>
  <si>
    <t>Perda B</t>
  </si>
  <si>
    <t>Perda C</t>
  </si>
  <si>
    <t>Perda TOTAL</t>
  </si>
  <si>
    <t>PROBABILIDADES DE PERDAS</t>
  </si>
  <si>
    <t>Prob Perda A</t>
  </si>
  <si>
    <t>Prob Perda B</t>
  </si>
  <si>
    <t>Prob Perda C</t>
  </si>
  <si>
    <t>Prob Perda TOTAL</t>
  </si>
  <si>
    <t>Perda X Prob</t>
  </si>
  <si>
    <t>Perda Esperada</t>
  </si>
  <si>
    <t>Prob. Acumulada</t>
  </si>
  <si>
    <t>Probabilidade</t>
  </si>
  <si>
    <t>Pior Perda Esperada</t>
  </si>
  <si>
    <t>Perda Não Esperada</t>
  </si>
  <si>
    <t>Probabilidade (Confiança)</t>
  </si>
  <si>
    <t>Distribuição de Perdas</t>
  </si>
  <si>
    <t>Perda 1</t>
  </si>
  <si>
    <t>Perda 2</t>
  </si>
  <si>
    <t>Perda Total</t>
  </si>
  <si>
    <t>Distribuição das Probabilidades</t>
  </si>
  <si>
    <t>-</t>
  </si>
  <si>
    <t>Prob. Total</t>
  </si>
  <si>
    <t>Perda x Prob</t>
  </si>
  <si>
    <t>Num. Even x Prob</t>
  </si>
  <si>
    <t>Magn x Prob</t>
  </si>
  <si>
    <t>X</t>
  </si>
  <si>
    <t>Agência Bancária</t>
  </si>
  <si>
    <t>252 dias</t>
  </si>
  <si>
    <t>415 fraudes</t>
  </si>
  <si>
    <t>Médias</t>
  </si>
  <si>
    <t>Distribuição Poisson</t>
  </si>
  <si>
    <t>Número Fraudes</t>
  </si>
  <si>
    <t>últimos</t>
  </si>
  <si>
    <t>Prob Acum</t>
  </si>
  <si>
    <t>Prob</t>
  </si>
  <si>
    <t>PREMISSAS</t>
  </si>
  <si>
    <t>Preço de Venda (R$/unid)</t>
  </si>
  <si>
    <t>Quantidade Vendida (unid)</t>
  </si>
  <si>
    <t>Custo (R$/unid)</t>
  </si>
  <si>
    <t>Despesas Operacionais (R$)</t>
  </si>
  <si>
    <t>Investimento</t>
  </si>
  <si>
    <t>Depreciação</t>
  </si>
  <si>
    <t>Taxa Mínima de Atratividade (%a.a)</t>
  </si>
  <si>
    <t>Valores</t>
  </si>
  <si>
    <t>Receita de Vendas</t>
  </si>
  <si>
    <t>(-) Custo dos Produtos Vendidos</t>
  </si>
  <si>
    <t>Lucro Bruto</t>
  </si>
  <si>
    <t>(-) Despesas Operacionais</t>
  </si>
  <si>
    <t>EBITDA</t>
  </si>
  <si>
    <t>(-) Depreciação</t>
  </si>
  <si>
    <t>EBIT - Lucro Operacional Bruto</t>
  </si>
  <si>
    <t>(-) IR - 40%</t>
  </si>
  <si>
    <t>NOPAT - Lucro Operacional Líquido do IR</t>
  </si>
  <si>
    <t>(+) Depreciação</t>
  </si>
  <si>
    <t>(-) Investimento</t>
  </si>
  <si>
    <t>Fluxo de Caixa Líquido</t>
  </si>
  <si>
    <t>Valor Presente Líquido - VPL</t>
  </si>
  <si>
    <t>Taxa Intena de Retorno - TIR</t>
  </si>
  <si>
    <t>ANÁLISE DE SENSIBILIDADE</t>
  </si>
  <si>
    <t>1 - Preço Mínimo de Vendas</t>
  </si>
  <si>
    <t>2 - Quantidade Mínima Vendida</t>
  </si>
  <si>
    <t>3 - Custo Máximo Permitido</t>
  </si>
  <si>
    <t>4 - Despesas Operacionais Máxima</t>
  </si>
  <si>
    <t>5 - Investimento Máximo possível</t>
  </si>
  <si>
    <t>6 - Taxa Mínima de Atratividade Máxima possível</t>
  </si>
  <si>
    <t>CENÁRIOS</t>
  </si>
  <si>
    <t>OTIMISTA</t>
  </si>
  <si>
    <t>MAIS PROVÁVEL</t>
  </si>
  <si>
    <t>PESSIMISTA</t>
  </si>
  <si>
    <t>Otimista</t>
  </si>
  <si>
    <t>Criado por Fabiano Guasti Lima em 07/10/2025</t>
  </si>
  <si>
    <t>Mais Provável</t>
  </si>
  <si>
    <t>Pessimista</t>
  </si>
  <si>
    <t>Resumo do cenário</t>
  </si>
  <si>
    <t>Células variáveis:</t>
  </si>
  <si>
    <t>Valores atuais:</t>
  </si>
  <si>
    <t>Células de resultado:</t>
  </si>
  <si>
    <t>Observações: A coluna Valores atuais representa os valores das células</t>
  </si>
  <si>
    <t>variáveis no momento em que o Relatório de Resumo do Cenário foi criado.</t>
  </si>
  <si>
    <t>As células variáveis para cada cenário estão destacadas em cinza.</t>
  </si>
  <si>
    <t>Cenários</t>
  </si>
  <si>
    <t>Probab</t>
  </si>
  <si>
    <t>VPL</t>
  </si>
  <si>
    <t>VPL Esperado</t>
  </si>
  <si>
    <t>RESULTADO (R$/período)</t>
  </si>
  <si>
    <t>Custo dos Produtos</t>
  </si>
  <si>
    <t>(-) Custos dos Produtos Vendidos</t>
  </si>
  <si>
    <t>(-) Custo da Campanha</t>
  </si>
  <si>
    <t>EBIT</t>
  </si>
  <si>
    <t>(-) Imposto de Renda</t>
  </si>
  <si>
    <t>NOPAT</t>
  </si>
  <si>
    <t>Retorno da Campanha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</si>
</sst>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%"/>
    <numFmt numFmtId="165" formatCode="0.00000%"/>
    <numFmt numFmtId="166" formatCode="0.000000%"/>
    <numFmt numFmtId="167" formatCode="0.00000000%"/>
    <numFmt numFmtId="168" formatCode="_-* #,##0.0000000000_-;\-* #,##0.0000000000_-;_-* &quot;-&quot;??_-;_-@_-"/>
    <numFmt numFmtId="169" formatCode="_-* #,##0_-;\-* #,##0_-;_-* &quot;-&quot;??_-;_-@_-"/>
    <numFmt numFmtId="170" formatCode="0.0%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indexed="18"/>
      <name val="Calibri"/>
      <family val="2"/>
      <scheme val="minor"/>
    </font>
    <font>
      <sz val="11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0">
    <border>
      <left/>
      <right/>
      <top/>
      <bottom/>
      <diagonal/>
    </border>
    <border>
      <left/>
      <right/>
      <top style="medium">
        <color rgb="FFDEE2E6"/>
      </top>
      <bottom style="medium">
        <color rgb="FFE5E5E5"/>
      </bottom>
      <diagonal/>
    </border>
    <border>
      <left style="medium">
        <color rgb="FFE5E5E5"/>
      </left>
      <right style="medium">
        <color rgb="FFFFFFFF"/>
      </right>
      <top style="medium">
        <color rgb="FFE5E5E5"/>
      </top>
      <bottom style="thick">
        <color rgb="FFDEE2E6"/>
      </bottom>
      <diagonal/>
    </border>
    <border>
      <left style="medium">
        <color rgb="FFFFFFFF"/>
      </left>
      <right style="medium">
        <color rgb="FFFFFFFF"/>
      </right>
      <top style="medium">
        <color rgb="FFE5E5E5"/>
      </top>
      <bottom style="thick">
        <color rgb="FFDEE2E6"/>
      </bottom>
      <diagonal/>
    </border>
    <border>
      <left style="medium">
        <color rgb="FFFFFFFF"/>
      </left>
      <right style="medium">
        <color rgb="FFE5E5E5"/>
      </right>
      <top style="medium">
        <color rgb="FFE5E5E5"/>
      </top>
      <bottom style="thick">
        <color rgb="FFDEE2E6"/>
      </bottom>
      <diagonal/>
    </border>
    <border>
      <left style="medium">
        <color rgb="FFE5E5E5"/>
      </left>
      <right/>
      <top style="medium">
        <color rgb="FFDEE2E6"/>
      </top>
      <bottom style="medium">
        <color rgb="FFE5E5E5"/>
      </bottom>
      <diagonal/>
    </border>
    <border>
      <left/>
      <right style="medium">
        <color rgb="FFE5E5E5"/>
      </right>
      <top style="medium">
        <color rgb="FFDEE2E6"/>
      </top>
      <bottom style="medium">
        <color rgb="FFE5E5E5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57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4" fontId="0" fillId="0" borderId="0" xfId="0" applyNumberFormat="1"/>
    <xf numFmtId="0" fontId="0" fillId="2" borderId="0" xfId="0" applyFill="1" applyAlignment="1">
      <alignment horizontal="center"/>
    </xf>
    <xf numFmtId="10" fontId="0" fillId="0" borderId="0" xfId="2" applyNumberFormat="1" applyFont="1" applyAlignment="1">
      <alignment horizontal="center"/>
    </xf>
    <xf numFmtId="0" fontId="2" fillId="0" borderId="0" xfId="0" applyFont="1"/>
    <xf numFmtId="43" fontId="0" fillId="0" borderId="0" xfId="3" applyFont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2" borderId="0" xfId="0" applyFill="1"/>
    <xf numFmtId="43" fontId="0" fillId="2" borderId="0" xfId="3" applyFont="1" applyFill="1"/>
    <xf numFmtId="9" fontId="0" fillId="2" borderId="0" xfId="0" applyNumberFormat="1" applyFill="1" applyAlignment="1">
      <alignment horizontal="center"/>
    </xf>
    <xf numFmtId="0" fontId="3" fillId="0" borderId="0" xfId="4"/>
    <xf numFmtId="17" fontId="3" fillId="0" borderId="0" xfId="4" applyNumberFormat="1"/>
    <xf numFmtId="17" fontId="0" fillId="0" borderId="0" xfId="0" applyNumberFormat="1" applyAlignment="1">
      <alignment horizontal="center"/>
    </xf>
    <xf numFmtId="4" fontId="0" fillId="0" borderId="0" xfId="0" applyNumberFormat="1"/>
    <xf numFmtId="0" fontId="5" fillId="0" borderId="0" xfId="0" applyFont="1"/>
    <xf numFmtId="10" fontId="0" fillId="0" borderId="0" xfId="0" applyNumberFormat="1"/>
    <xf numFmtId="10" fontId="0" fillId="0" borderId="0" xfId="2" applyNumberFormat="1" applyFont="1"/>
    <xf numFmtId="0" fontId="2" fillId="4" borderId="0" xfId="0" applyFont="1" applyFill="1"/>
    <xf numFmtId="0" fontId="2" fillId="5" borderId="0" xfId="0" applyFont="1" applyFill="1"/>
    <xf numFmtId="164" fontId="0" fillId="0" borderId="0" xfId="2" applyNumberFormat="1" applyFont="1"/>
    <xf numFmtId="166" fontId="0" fillId="0" borderId="0" xfId="2" applyNumberFormat="1" applyFont="1"/>
    <xf numFmtId="0" fontId="6" fillId="6" borderId="2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6" borderId="6" xfId="0" applyFont="1" applyFill="1" applyBorder="1" applyAlignment="1">
      <alignment horizontal="right" vertical="top" wrapText="1"/>
    </xf>
    <xf numFmtId="167" fontId="6" fillId="6" borderId="1" xfId="2" applyNumberFormat="1" applyFont="1" applyFill="1" applyBorder="1" applyAlignment="1">
      <alignment horizontal="right" vertical="top" wrapText="1"/>
    </xf>
    <xf numFmtId="2" fontId="6" fillId="6" borderId="6" xfId="0" applyNumberFormat="1" applyFont="1" applyFill="1" applyBorder="1" applyAlignment="1">
      <alignment horizontal="right" vertical="top" wrapText="1"/>
    </xf>
    <xf numFmtId="0" fontId="6" fillId="6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22" fontId="0" fillId="0" borderId="0" xfId="0" applyNumberFormat="1"/>
    <xf numFmtId="0" fontId="0" fillId="0" borderId="7" xfId="0" applyBorder="1"/>
    <xf numFmtId="0" fontId="7" fillId="0" borderId="8" xfId="0" applyFont="1" applyBorder="1" applyAlignment="1">
      <alignment horizontal="center"/>
    </xf>
    <xf numFmtId="168" fontId="0" fillId="0" borderId="0" xfId="3" applyNumberFormat="1" applyFont="1" applyFill="1" applyBorder="1" applyAlignment="1"/>
    <xf numFmtId="168" fontId="0" fillId="0" borderId="7" xfId="3" applyNumberFormat="1" applyFont="1" applyFill="1" applyBorder="1" applyAlignment="1"/>
    <xf numFmtId="165" fontId="0" fillId="0" borderId="0" xfId="2" applyNumberFormat="1" applyFont="1" applyAlignment="1">
      <alignment horizontal="center"/>
    </xf>
    <xf numFmtId="165" fontId="0" fillId="0" borderId="0" xfId="0" applyNumberFormat="1"/>
    <xf numFmtId="9" fontId="2" fillId="0" borderId="0" xfId="0" applyNumberFormat="1" applyFont="1" applyAlignment="1">
      <alignment horizontal="center"/>
    </xf>
    <xf numFmtId="0" fontId="0" fillId="7" borderId="0" xfId="0" applyFill="1" applyAlignment="1">
      <alignment horizontal="center"/>
    </xf>
    <xf numFmtId="9" fontId="0" fillId="7" borderId="0" xfId="0" applyNumberFormat="1" applyFill="1" applyAlignment="1">
      <alignment horizontal="center"/>
    </xf>
    <xf numFmtId="0" fontId="2" fillId="8" borderId="0" xfId="0" applyFont="1" applyFill="1" applyAlignment="1">
      <alignment horizontal="center"/>
    </xf>
    <xf numFmtId="43" fontId="0" fillId="10" borderId="0" xfId="3" applyFont="1" applyFill="1"/>
    <xf numFmtId="0" fontId="0" fillId="9" borderId="0" xfId="0" applyFill="1" applyAlignment="1">
      <alignment horizontal="center"/>
    </xf>
    <xf numFmtId="169" fontId="0" fillId="0" borderId="0" xfId="3" applyNumberFormat="1" applyFont="1"/>
    <xf numFmtId="169" fontId="0" fillId="0" borderId="0" xfId="0" applyNumberFormat="1"/>
    <xf numFmtId="9" fontId="0" fillId="0" borderId="0" xfId="0" applyNumberFormat="1"/>
    <xf numFmtId="43" fontId="0" fillId="0" borderId="0" xfId="0" applyNumberFormat="1"/>
    <xf numFmtId="0" fontId="0" fillId="0" borderId="11" xfId="0" applyBorder="1"/>
    <xf numFmtId="0" fontId="2" fillId="5" borderId="0" xfId="0" applyFont="1" applyFill="1" applyAlignment="1">
      <alignment horizontal="center"/>
    </xf>
    <xf numFmtId="0" fontId="0" fillId="2" borderId="11" xfId="0" applyFill="1" applyBorder="1"/>
    <xf numFmtId="10" fontId="0" fillId="2" borderId="12" xfId="2" applyNumberFormat="1" applyFont="1" applyFill="1" applyBorder="1"/>
    <xf numFmtId="44" fontId="0" fillId="2" borderId="12" xfId="0" applyNumberFormat="1" applyFill="1" applyBorder="1"/>
    <xf numFmtId="43" fontId="0" fillId="2" borderId="12" xfId="0" applyNumberFormat="1" applyFill="1" applyBorder="1"/>
    <xf numFmtId="0" fontId="0" fillId="2" borderId="13" xfId="0" applyFill="1" applyBorder="1"/>
    <xf numFmtId="44" fontId="0" fillId="2" borderId="14" xfId="1" applyFont="1" applyFill="1" applyBorder="1"/>
    <xf numFmtId="44" fontId="0" fillId="0" borderId="0" xfId="0" applyNumberFormat="1" applyAlignment="1">
      <alignment horizontal="center"/>
    </xf>
    <xf numFmtId="44" fontId="2" fillId="5" borderId="0" xfId="0" applyNumberFormat="1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9" fontId="0" fillId="0" borderId="0" xfId="2" applyFont="1" applyAlignment="1">
      <alignment horizontal="center"/>
    </xf>
    <xf numFmtId="0" fontId="2" fillId="7" borderId="0" xfId="0" applyFont="1" applyFill="1" applyAlignment="1">
      <alignment horizontal="center"/>
    </xf>
    <xf numFmtId="10" fontId="2" fillId="7" borderId="0" xfId="0" applyNumberFormat="1" applyFont="1" applyFill="1" applyAlignment="1">
      <alignment horizontal="center"/>
    </xf>
    <xf numFmtId="10" fontId="0" fillId="7" borderId="0" xfId="2" applyNumberFormat="1" applyFont="1" applyFill="1" applyAlignment="1">
      <alignment horizontal="center"/>
    </xf>
    <xf numFmtId="0" fontId="0" fillId="5" borderId="0" xfId="0" applyFill="1"/>
    <xf numFmtId="44" fontId="0" fillId="5" borderId="0" xfId="0" applyNumberFormat="1" applyFill="1"/>
    <xf numFmtId="44" fontId="0" fillId="4" borderId="0" xfId="1" applyFont="1" applyFill="1"/>
    <xf numFmtId="10" fontId="0" fillId="4" borderId="0" xfId="2" applyNumberFormat="1" applyFont="1" applyFill="1" applyAlignment="1">
      <alignment horizontal="center"/>
    </xf>
    <xf numFmtId="10" fontId="0" fillId="4" borderId="0" xfId="0" applyNumberFormat="1" applyFill="1" applyAlignment="1">
      <alignment horizontal="center"/>
    </xf>
    <xf numFmtId="44" fontId="0" fillId="0" borderId="0" xfId="1" applyFont="1" applyAlignment="1">
      <alignment horizontal="center"/>
    </xf>
    <xf numFmtId="0" fontId="0" fillId="7" borderId="0" xfId="0" applyFill="1"/>
    <xf numFmtId="10" fontId="0" fillId="7" borderId="0" xfId="0" applyNumberFormat="1" applyFill="1"/>
    <xf numFmtId="44" fontId="0" fillId="9" borderId="0" xfId="1" applyFont="1" applyFill="1"/>
    <xf numFmtId="10" fontId="0" fillId="0" borderId="0" xfId="2" applyNumberFormat="1" applyFont="1" applyAlignment="1">
      <alignment horizontal="right"/>
    </xf>
    <xf numFmtId="0" fontId="0" fillId="13" borderId="0" xfId="0" applyFill="1" applyAlignment="1">
      <alignment horizontal="center"/>
    </xf>
    <xf numFmtId="10" fontId="0" fillId="13" borderId="0" xfId="0" applyNumberFormat="1" applyFill="1" applyAlignment="1">
      <alignment horizontal="center"/>
    </xf>
    <xf numFmtId="44" fontId="0" fillId="14" borderId="0" xfId="1" applyFont="1" applyFill="1" applyAlignment="1">
      <alignment horizontal="center"/>
    </xf>
    <xf numFmtId="44" fontId="0" fillId="5" borderId="0" xfId="1" applyFont="1" applyFill="1" applyAlignment="1">
      <alignment horizontal="center"/>
    </xf>
    <xf numFmtId="10" fontId="0" fillId="4" borderId="0" xfId="0" applyNumberFormat="1" applyFill="1"/>
    <xf numFmtId="0" fontId="9" fillId="15" borderId="0" xfId="0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0" fontId="0" fillId="3" borderId="0" xfId="0" applyFill="1"/>
    <xf numFmtId="44" fontId="0" fillId="3" borderId="0" xfId="1" applyFont="1" applyFill="1"/>
    <xf numFmtId="169" fontId="0" fillId="3" borderId="0" xfId="3" applyNumberFormat="1" applyFont="1" applyFill="1"/>
    <xf numFmtId="44" fontId="0" fillId="3" borderId="0" xfId="0" applyNumberFormat="1" applyFill="1"/>
    <xf numFmtId="9" fontId="0" fillId="3" borderId="0" xfId="0" applyNumberFormat="1" applyFill="1"/>
    <xf numFmtId="0" fontId="4" fillId="0" borderId="9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11" xfId="0" applyFont="1" applyBorder="1"/>
    <xf numFmtId="44" fontId="0" fillId="0" borderId="0" xfId="1" applyFont="1" applyBorder="1"/>
    <xf numFmtId="44" fontId="2" fillId="0" borderId="0" xfId="1" applyFont="1" applyBorder="1"/>
    <xf numFmtId="44" fontId="2" fillId="0" borderId="12" xfId="1" applyFont="1" applyBorder="1"/>
    <xf numFmtId="44" fontId="0" fillId="0" borderId="12" xfId="1" applyFont="1" applyBorder="1"/>
    <xf numFmtId="0" fontId="0" fillId="0" borderId="12" xfId="0" applyBorder="1"/>
    <xf numFmtId="0" fontId="2" fillId="0" borderId="13" xfId="0" applyFont="1" applyBorder="1"/>
    <xf numFmtId="0" fontId="0" fillId="0" borderId="14" xfId="0" applyBorder="1"/>
    <xf numFmtId="44" fontId="2" fillId="0" borderId="0" xfId="0" applyNumberFormat="1" applyFont="1"/>
    <xf numFmtId="170" fontId="2" fillId="0" borderId="7" xfId="0" applyNumberFormat="1" applyFont="1" applyBorder="1"/>
    <xf numFmtId="44" fontId="0" fillId="5" borderId="0" xfId="1" applyFont="1" applyFill="1"/>
    <xf numFmtId="169" fontId="0" fillId="5" borderId="0" xfId="3" applyNumberFormat="1" applyFont="1" applyFill="1"/>
    <xf numFmtId="170" fontId="0" fillId="3" borderId="0" xfId="0" applyNumberFormat="1" applyFill="1"/>
    <xf numFmtId="10" fontId="0" fillId="3" borderId="0" xfId="0" applyNumberFormat="1" applyFill="1"/>
    <xf numFmtId="0" fontId="8" fillId="2" borderId="0" xfId="0" applyFont="1" applyFill="1" applyAlignment="1">
      <alignment horizontal="center"/>
    </xf>
    <xf numFmtId="44" fontId="0" fillId="2" borderId="0" xfId="1" applyFont="1" applyFill="1"/>
    <xf numFmtId="169" fontId="0" fillId="2" borderId="0" xfId="3" applyNumberFormat="1" applyFont="1" applyFill="1"/>
    <xf numFmtId="44" fontId="0" fillId="2" borderId="0" xfId="0" applyNumberFormat="1" applyFill="1"/>
    <xf numFmtId="0" fontId="8" fillId="9" borderId="0" xfId="0" applyFont="1" applyFill="1" applyAlignment="1">
      <alignment horizontal="center"/>
    </xf>
    <xf numFmtId="169" fontId="0" fillId="9" borderId="0" xfId="3" applyNumberFormat="1" applyFont="1" applyFill="1"/>
    <xf numFmtId="44" fontId="0" fillId="9" borderId="0" xfId="0" applyNumberFormat="1" applyFill="1"/>
    <xf numFmtId="0" fontId="8" fillId="7" borderId="0" xfId="0" applyFont="1" applyFill="1" applyAlignment="1">
      <alignment horizontal="center"/>
    </xf>
    <xf numFmtId="44" fontId="0" fillId="7" borderId="0" xfId="1" applyFont="1" applyFill="1"/>
    <xf numFmtId="169" fontId="0" fillId="7" borderId="0" xfId="3" applyNumberFormat="1" applyFont="1" applyFill="1"/>
    <xf numFmtId="44" fontId="0" fillId="7" borderId="0" xfId="0" applyNumberFormat="1" applyFill="1"/>
    <xf numFmtId="10" fontId="0" fillId="2" borderId="0" xfId="0" applyNumberFormat="1" applyFill="1"/>
    <xf numFmtId="10" fontId="0" fillId="9" borderId="0" xfId="0" applyNumberFormat="1" applyFill="1"/>
    <xf numFmtId="170" fontId="0" fillId="0" borderId="7" xfId="0" applyNumberFormat="1" applyBorder="1"/>
    <xf numFmtId="0" fontId="11" fillId="17" borderId="18" xfId="0" applyFont="1" applyFill="1" applyBorder="1" applyAlignment="1">
      <alignment horizontal="left"/>
    </xf>
    <xf numFmtId="0" fontId="11" fillId="17" borderId="17" xfId="0" applyFont="1" applyFill="1" applyBorder="1" applyAlignment="1">
      <alignment horizontal="left"/>
    </xf>
    <xf numFmtId="0" fontId="0" fillId="0" borderId="19" xfId="0" applyBorder="1"/>
    <xf numFmtId="0" fontId="12" fillId="18" borderId="0" xfId="0" applyFont="1" applyFill="1" applyAlignment="1">
      <alignment horizontal="left"/>
    </xf>
    <xf numFmtId="0" fontId="13" fillId="18" borderId="19" xfId="0" applyFont="1" applyFill="1" applyBorder="1" applyAlignment="1">
      <alignment horizontal="left"/>
    </xf>
    <xf numFmtId="0" fontId="12" fillId="18" borderId="7" xfId="0" applyFont="1" applyFill="1" applyBorder="1" applyAlignment="1">
      <alignment horizontal="left"/>
    </xf>
    <xf numFmtId="0" fontId="14" fillId="17" borderId="17" xfId="0" applyFont="1" applyFill="1" applyBorder="1" applyAlignment="1">
      <alignment horizontal="right"/>
    </xf>
    <xf numFmtId="0" fontId="14" fillId="17" borderId="18" xfId="0" applyFont="1" applyFill="1" applyBorder="1" applyAlignment="1">
      <alignment horizontal="right"/>
    </xf>
    <xf numFmtId="44" fontId="0" fillId="19" borderId="0" xfId="0" applyNumberFormat="1" applyFill="1"/>
    <xf numFmtId="169" fontId="0" fillId="19" borderId="0" xfId="0" applyNumberFormat="1" applyFill="1"/>
    <xf numFmtId="0" fontId="0" fillId="19" borderId="0" xfId="0" applyFill="1"/>
    <xf numFmtId="10" fontId="0" fillId="19" borderId="0" xfId="0" applyNumberFormat="1" applyFill="1"/>
    <xf numFmtId="0" fontId="15" fillId="0" borderId="0" xfId="0" applyFont="1" applyAlignment="1">
      <alignment vertical="top" wrapText="1"/>
    </xf>
    <xf numFmtId="0" fontId="2" fillId="5" borderId="15" xfId="0" applyFont="1" applyFill="1" applyBorder="1" applyAlignment="1">
      <alignment horizontal="center"/>
    </xf>
    <xf numFmtId="10" fontId="2" fillId="5" borderId="16" xfId="2" applyNumberFormat="1" applyFont="1" applyFill="1" applyBorder="1" applyAlignment="1">
      <alignment horizontal="center"/>
    </xf>
    <xf numFmtId="0" fontId="2" fillId="3" borderId="11" xfId="0" applyFont="1" applyFill="1" applyBorder="1"/>
    <xf numFmtId="44" fontId="2" fillId="3" borderId="12" xfId="1" applyFont="1" applyFill="1" applyBorder="1"/>
    <xf numFmtId="0" fontId="0" fillId="3" borderId="11" xfId="0" applyFill="1" applyBorder="1"/>
    <xf numFmtId="44" fontId="0" fillId="3" borderId="12" xfId="1" applyFont="1" applyFill="1" applyBorder="1"/>
    <xf numFmtId="44" fontId="0" fillId="3" borderId="12" xfId="0" applyNumberFormat="1" applyFill="1" applyBorder="1"/>
    <xf numFmtId="0" fontId="2" fillId="3" borderId="13" xfId="0" applyFont="1" applyFill="1" applyBorder="1"/>
    <xf numFmtId="44" fontId="0" fillId="3" borderId="14" xfId="0" applyNumberFormat="1" applyFill="1" applyBorder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15" borderId="10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0" fillId="16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 textRotation="90"/>
    </xf>
  </cellXfs>
  <cellStyles count="5">
    <cellStyle name="Moeda" xfId="1" builtinId="4"/>
    <cellStyle name="Normal" xfId="0" builtinId="0"/>
    <cellStyle name="Normal 2" xfId="4" xr:uid="{A798CBE1-19AB-0341-B931-CA378DB94082}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Ibovespa</a:t>
            </a:r>
            <a:r>
              <a:rPr lang="en-US" baseline="0"/>
              <a:t> X Dólar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Ibovespa</c:v>
          </c:tx>
          <c:marker>
            <c:symbol val="none"/>
          </c:marker>
          <c:xVal>
            <c:numRef>
              <c:f>Correlação!$A$2:$A$118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Correlação!$B$2:$B$118</c:f>
              <c:numCache>
                <c:formatCode>General</c:formatCode>
                <c:ptCount val="117"/>
                <c:pt idx="0">
                  <c:v>65401</c:v>
                </c:pt>
                <c:pt idx="1">
                  <c:v>66503</c:v>
                </c:pt>
                <c:pt idx="2">
                  <c:v>70371</c:v>
                </c:pt>
                <c:pt idx="3">
                  <c:v>67529</c:v>
                </c:pt>
                <c:pt idx="4">
                  <c:v>63046</c:v>
                </c:pt>
                <c:pt idx="5">
                  <c:v>60935</c:v>
                </c:pt>
                <c:pt idx="6">
                  <c:v>67515</c:v>
                </c:pt>
                <c:pt idx="7">
                  <c:v>65145</c:v>
                </c:pt>
                <c:pt idx="8">
                  <c:v>69429</c:v>
                </c:pt>
                <c:pt idx="9">
                  <c:v>70673</c:v>
                </c:pt>
                <c:pt idx="10">
                  <c:v>67705</c:v>
                </c:pt>
                <c:pt idx="11">
                  <c:v>69304</c:v>
                </c:pt>
                <c:pt idx="12">
                  <c:v>66574</c:v>
                </c:pt>
                <c:pt idx="13">
                  <c:v>67383</c:v>
                </c:pt>
                <c:pt idx="14">
                  <c:v>68586</c:v>
                </c:pt>
                <c:pt idx="15">
                  <c:v>66132</c:v>
                </c:pt>
                <c:pt idx="16">
                  <c:v>64620</c:v>
                </c:pt>
                <c:pt idx="17">
                  <c:v>62403</c:v>
                </c:pt>
                <c:pt idx="18">
                  <c:v>58823</c:v>
                </c:pt>
                <c:pt idx="19">
                  <c:v>56495</c:v>
                </c:pt>
                <c:pt idx="20">
                  <c:v>52324</c:v>
                </c:pt>
                <c:pt idx="21">
                  <c:v>58338</c:v>
                </c:pt>
                <c:pt idx="22">
                  <c:v>56874</c:v>
                </c:pt>
                <c:pt idx="23">
                  <c:v>56754</c:v>
                </c:pt>
                <c:pt idx="24">
                  <c:v>63072</c:v>
                </c:pt>
                <c:pt idx="25">
                  <c:v>65811</c:v>
                </c:pt>
                <c:pt idx="26">
                  <c:v>64510</c:v>
                </c:pt>
                <c:pt idx="27">
                  <c:v>61820</c:v>
                </c:pt>
                <c:pt idx="28">
                  <c:v>54490</c:v>
                </c:pt>
                <c:pt idx="29">
                  <c:v>54354</c:v>
                </c:pt>
                <c:pt idx="30">
                  <c:v>56097</c:v>
                </c:pt>
                <c:pt idx="31">
                  <c:v>57061</c:v>
                </c:pt>
                <c:pt idx="32">
                  <c:v>59175</c:v>
                </c:pt>
                <c:pt idx="33">
                  <c:v>57068</c:v>
                </c:pt>
                <c:pt idx="34">
                  <c:v>57474</c:v>
                </c:pt>
                <c:pt idx="35">
                  <c:v>60952</c:v>
                </c:pt>
                <c:pt idx="36">
                  <c:v>59761</c:v>
                </c:pt>
                <c:pt idx="37">
                  <c:v>57424</c:v>
                </c:pt>
                <c:pt idx="38">
                  <c:v>56352</c:v>
                </c:pt>
                <c:pt idx="39">
                  <c:v>55910</c:v>
                </c:pt>
                <c:pt idx="40">
                  <c:v>53506</c:v>
                </c:pt>
                <c:pt idx="41">
                  <c:v>47457</c:v>
                </c:pt>
                <c:pt idx="42">
                  <c:v>48234</c:v>
                </c:pt>
                <c:pt idx="43">
                  <c:v>50011</c:v>
                </c:pt>
                <c:pt idx="44">
                  <c:v>52338</c:v>
                </c:pt>
                <c:pt idx="45">
                  <c:v>54256</c:v>
                </c:pt>
                <c:pt idx="46">
                  <c:v>52482</c:v>
                </c:pt>
                <c:pt idx="47">
                  <c:v>51507</c:v>
                </c:pt>
                <c:pt idx="48">
                  <c:v>47638</c:v>
                </c:pt>
                <c:pt idx="49">
                  <c:v>47094</c:v>
                </c:pt>
                <c:pt idx="50">
                  <c:v>50414</c:v>
                </c:pt>
                <c:pt idx="51">
                  <c:v>51626</c:v>
                </c:pt>
                <c:pt idx="52">
                  <c:v>51239</c:v>
                </c:pt>
                <c:pt idx="53">
                  <c:v>53168</c:v>
                </c:pt>
                <c:pt idx="54">
                  <c:v>55829</c:v>
                </c:pt>
                <c:pt idx="55">
                  <c:v>61288</c:v>
                </c:pt>
                <c:pt idx="56">
                  <c:v>54115</c:v>
                </c:pt>
                <c:pt idx="57">
                  <c:v>54628</c:v>
                </c:pt>
                <c:pt idx="58">
                  <c:v>54724</c:v>
                </c:pt>
                <c:pt idx="59">
                  <c:v>50007</c:v>
                </c:pt>
                <c:pt idx="60">
                  <c:v>46907</c:v>
                </c:pt>
                <c:pt idx="61">
                  <c:v>51583</c:v>
                </c:pt>
                <c:pt idx="62">
                  <c:v>51150</c:v>
                </c:pt>
                <c:pt idx="63">
                  <c:v>56229</c:v>
                </c:pt>
                <c:pt idx="64">
                  <c:v>52760</c:v>
                </c:pt>
                <c:pt idx="65">
                  <c:v>53080</c:v>
                </c:pt>
                <c:pt idx="66">
                  <c:v>50864</c:v>
                </c:pt>
                <c:pt idx="67">
                  <c:v>46625</c:v>
                </c:pt>
                <c:pt idx="68">
                  <c:v>45059</c:v>
                </c:pt>
                <c:pt idx="69">
                  <c:v>45868</c:v>
                </c:pt>
                <c:pt idx="70">
                  <c:v>45120</c:v>
                </c:pt>
                <c:pt idx="71">
                  <c:v>43349</c:v>
                </c:pt>
                <c:pt idx="72">
                  <c:v>40405</c:v>
                </c:pt>
                <c:pt idx="73">
                  <c:v>42793</c:v>
                </c:pt>
                <c:pt idx="74">
                  <c:v>50055</c:v>
                </c:pt>
                <c:pt idx="75">
                  <c:v>53910</c:v>
                </c:pt>
                <c:pt idx="76">
                  <c:v>48471</c:v>
                </c:pt>
                <c:pt idx="77">
                  <c:v>51526</c:v>
                </c:pt>
                <c:pt idx="78">
                  <c:v>57308</c:v>
                </c:pt>
                <c:pt idx="79">
                  <c:v>57901</c:v>
                </c:pt>
                <c:pt idx="80">
                  <c:v>58367</c:v>
                </c:pt>
                <c:pt idx="81">
                  <c:v>64924</c:v>
                </c:pt>
                <c:pt idx="82">
                  <c:v>61906</c:v>
                </c:pt>
                <c:pt idx="83">
                  <c:v>60227</c:v>
                </c:pt>
                <c:pt idx="84">
                  <c:v>64670</c:v>
                </c:pt>
                <c:pt idx="85">
                  <c:v>66662</c:v>
                </c:pt>
                <c:pt idx="86">
                  <c:v>64984</c:v>
                </c:pt>
                <c:pt idx="87">
                  <c:v>65403</c:v>
                </c:pt>
                <c:pt idx="88">
                  <c:v>62711</c:v>
                </c:pt>
                <c:pt idx="89">
                  <c:v>62899</c:v>
                </c:pt>
                <c:pt idx="90">
                  <c:v>65920</c:v>
                </c:pt>
                <c:pt idx="91">
                  <c:v>70835.05</c:v>
                </c:pt>
                <c:pt idx="92">
                  <c:v>74293.509999999995</c:v>
                </c:pt>
                <c:pt idx="93">
                  <c:v>74308.490000000005</c:v>
                </c:pt>
                <c:pt idx="94">
                  <c:v>71970.990000000005</c:v>
                </c:pt>
                <c:pt idx="95">
                  <c:v>76402.080000000002</c:v>
                </c:pt>
                <c:pt idx="96">
                  <c:v>84912.7</c:v>
                </c:pt>
                <c:pt idx="97">
                  <c:v>85353.600000000006</c:v>
                </c:pt>
                <c:pt idx="98">
                  <c:v>85365.56</c:v>
                </c:pt>
                <c:pt idx="99">
                  <c:v>86115.5</c:v>
                </c:pt>
                <c:pt idx="100">
                  <c:v>76753.61</c:v>
                </c:pt>
                <c:pt idx="101">
                  <c:v>72762.52</c:v>
                </c:pt>
                <c:pt idx="102">
                  <c:v>79220.44</c:v>
                </c:pt>
                <c:pt idx="103">
                  <c:v>76677.53</c:v>
                </c:pt>
                <c:pt idx="104">
                  <c:v>79342.429999999993</c:v>
                </c:pt>
                <c:pt idx="105">
                  <c:v>87423.55</c:v>
                </c:pt>
                <c:pt idx="106">
                  <c:v>89504.03</c:v>
                </c:pt>
                <c:pt idx="107">
                  <c:v>87887.27</c:v>
                </c:pt>
                <c:pt idx="108">
                  <c:v>97393.75</c:v>
                </c:pt>
                <c:pt idx="109">
                  <c:v>95584.35</c:v>
                </c:pt>
                <c:pt idx="110">
                  <c:v>95414.56</c:v>
                </c:pt>
                <c:pt idx="111">
                  <c:v>96353.33</c:v>
                </c:pt>
                <c:pt idx="112">
                  <c:v>97030.32</c:v>
                </c:pt>
                <c:pt idx="113">
                  <c:v>100967.2</c:v>
                </c:pt>
                <c:pt idx="114">
                  <c:v>101812.13</c:v>
                </c:pt>
                <c:pt idx="115">
                  <c:v>101134.61</c:v>
                </c:pt>
                <c:pt idx="116">
                  <c:v>104531.93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06-854B-9B12-222977DC0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8778456"/>
        <c:axId val="-2025599528"/>
      </c:scatterChart>
      <c:scatterChart>
        <c:scatterStyle val="lineMarker"/>
        <c:varyColors val="0"/>
        <c:ser>
          <c:idx val="1"/>
          <c:order val="1"/>
          <c:tx>
            <c:v>Dólar</c:v>
          </c:tx>
          <c:marker>
            <c:symbol val="none"/>
          </c:marker>
          <c:xVal>
            <c:numRef>
              <c:f>Correlação!$D$2:$D$118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Correlação!$E$2:$E$118</c:f>
              <c:numCache>
                <c:formatCode>General</c:formatCode>
                <c:ptCount val="117"/>
                <c:pt idx="0">
                  <c:v>1.8748</c:v>
                </c:pt>
                <c:pt idx="1">
                  <c:v>1.8109999999999999</c:v>
                </c:pt>
                <c:pt idx="2">
                  <c:v>1.7809999999999999</c:v>
                </c:pt>
                <c:pt idx="3">
                  <c:v>1.7305999999999999</c:v>
                </c:pt>
                <c:pt idx="4">
                  <c:v>1.8167</c:v>
                </c:pt>
                <c:pt idx="5">
                  <c:v>1.8015000000000001</c:v>
                </c:pt>
                <c:pt idx="6">
                  <c:v>1.7572000000000001</c:v>
                </c:pt>
                <c:pt idx="7">
                  <c:v>1.756</c:v>
                </c:pt>
                <c:pt idx="8">
                  <c:v>1.6941999999999999</c:v>
                </c:pt>
                <c:pt idx="9">
                  <c:v>1.7014</c:v>
                </c:pt>
                <c:pt idx="10">
                  <c:v>1.7161</c:v>
                </c:pt>
                <c:pt idx="11">
                  <c:v>1.6661999999999999</c:v>
                </c:pt>
                <c:pt idx="12">
                  <c:v>1.6734</c:v>
                </c:pt>
                <c:pt idx="13">
                  <c:v>1.6612</c:v>
                </c:pt>
                <c:pt idx="14">
                  <c:v>1.6287</c:v>
                </c:pt>
                <c:pt idx="15">
                  <c:v>1.5732999999999999</c:v>
                </c:pt>
                <c:pt idx="16">
                  <c:v>1.5799000000000001</c:v>
                </c:pt>
                <c:pt idx="17">
                  <c:v>1.5610999999999999</c:v>
                </c:pt>
                <c:pt idx="18">
                  <c:v>1.5563</c:v>
                </c:pt>
                <c:pt idx="19">
                  <c:v>1.5871999999999999</c:v>
                </c:pt>
                <c:pt idx="20">
                  <c:v>1.8544</c:v>
                </c:pt>
                <c:pt idx="21">
                  <c:v>1.6884999999999999</c:v>
                </c:pt>
                <c:pt idx="22">
                  <c:v>1.8109</c:v>
                </c:pt>
                <c:pt idx="23">
                  <c:v>1.8757999999999999</c:v>
                </c:pt>
                <c:pt idx="24">
                  <c:v>1.7391000000000001</c:v>
                </c:pt>
                <c:pt idx="25">
                  <c:v>1.7092000000000001</c:v>
                </c:pt>
                <c:pt idx="26">
                  <c:v>1.8221000000000001</c:v>
                </c:pt>
                <c:pt idx="27">
                  <c:v>1.8917999999999999</c:v>
                </c:pt>
                <c:pt idx="28">
                  <c:v>2.0223</c:v>
                </c:pt>
                <c:pt idx="29">
                  <c:v>2.0213000000000001</c:v>
                </c:pt>
                <c:pt idx="30">
                  <c:v>2.0499000000000001</c:v>
                </c:pt>
                <c:pt idx="31">
                  <c:v>2.0371999999999999</c:v>
                </c:pt>
                <c:pt idx="32">
                  <c:v>2.0306000000000002</c:v>
                </c:pt>
                <c:pt idx="33">
                  <c:v>2.0312999999999999</c:v>
                </c:pt>
                <c:pt idx="34">
                  <c:v>2.1074000000000002</c:v>
                </c:pt>
                <c:pt idx="35">
                  <c:v>2.0434999999999999</c:v>
                </c:pt>
                <c:pt idx="36">
                  <c:v>1.9883</c:v>
                </c:pt>
                <c:pt idx="37">
                  <c:v>1.9754</c:v>
                </c:pt>
                <c:pt idx="38">
                  <c:v>2.0137999999999998</c:v>
                </c:pt>
                <c:pt idx="39">
                  <c:v>2.0017</c:v>
                </c:pt>
                <c:pt idx="40">
                  <c:v>2.1318999999999999</c:v>
                </c:pt>
                <c:pt idx="41">
                  <c:v>2.2155999999999998</c:v>
                </c:pt>
                <c:pt idx="42">
                  <c:v>2.2902999999999998</c:v>
                </c:pt>
                <c:pt idx="43">
                  <c:v>2.3725000000000001</c:v>
                </c:pt>
                <c:pt idx="44">
                  <c:v>2.23</c:v>
                </c:pt>
                <c:pt idx="45">
                  <c:v>2.2025999999999999</c:v>
                </c:pt>
                <c:pt idx="46">
                  <c:v>2.3249</c:v>
                </c:pt>
                <c:pt idx="47">
                  <c:v>2.3426</c:v>
                </c:pt>
                <c:pt idx="48">
                  <c:v>2.4262999999999999</c:v>
                </c:pt>
                <c:pt idx="49">
                  <c:v>2.3334000000000001</c:v>
                </c:pt>
                <c:pt idx="50">
                  <c:v>2.2629999999999999</c:v>
                </c:pt>
                <c:pt idx="51">
                  <c:v>2.2360000000000002</c:v>
                </c:pt>
                <c:pt idx="52">
                  <c:v>2.2389999999999999</c:v>
                </c:pt>
                <c:pt idx="53">
                  <c:v>2.2025000000000001</c:v>
                </c:pt>
                <c:pt idx="54">
                  <c:v>2.2673999999999999</c:v>
                </c:pt>
                <c:pt idx="55">
                  <c:v>2.2395999999999998</c:v>
                </c:pt>
                <c:pt idx="56">
                  <c:v>2.4510000000000001</c:v>
                </c:pt>
                <c:pt idx="57">
                  <c:v>2.4441999999999999</c:v>
                </c:pt>
                <c:pt idx="58">
                  <c:v>2.5600999999999998</c:v>
                </c:pt>
                <c:pt idx="59">
                  <c:v>2.6562000000000001</c:v>
                </c:pt>
                <c:pt idx="60">
                  <c:v>2.6623000000000001</c:v>
                </c:pt>
                <c:pt idx="61">
                  <c:v>2.8782000000000001</c:v>
                </c:pt>
                <c:pt idx="62">
                  <c:v>3.2080000000000002</c:v>
                </c:pt>
                <c:pt idx="63">
                  <c:v>2.9935999999999998</c:v>
                </c:pt>
                <c:pt idx="64">
                  <c:v>3.1787999999999998</c:v>
                </c:pt>
                <c:pt idx="65">
                  <c:v>3.1025999999999998</c:v>
                </c:pt>
                <c:pt idx="66">
                  <c:v>3.3940000000000001</c:v>
                </c:pt>
                <c:pt idx="67">
                  <c:v>3.6467000000000001</c:v>
                </c:pt>
                <c:pt idx="68">
                  <c:v>3.9729000000000001</c:v>
                </c:pt>
                <c:pt idx="69">
                  <c:v>3.8589000000000002</c:v>
                </c:pt>
                <c:pt idx="70">
                  <c:v>3.8506</c:v>
                </c:pt>
                <c:pt idx="71">
                  <c:v>3.9047999999999998</c:v>
                </c:pt>
                <c:pt idx="72">
                  <c:v>4.0427999999999997</c:v>
                </c:pt>
                <c:pt idx="73">
                  <c:v>3.9796</c:v>
                </c:pt>
                <c:pt idx="74">
                  <c:v>3.5589</c:v>
                </c:pt>
                <c:pt idx="75">
                  <c:v>3.4508000000000001</c:v>
                </c:pt>
                <c:pt idx="76">
                  <c:v>3.5951</c:v>
                </c:pt>
                <c:pt idx="77">
                  <c:v>3.2098</c:v>
                </c:pt>
                <c:pt idx="78">
                  <c:v>3.2389999999999999</c:v>
                </c:pt>
                <c:pt idx="79">
                  <c:v>3.2403</c:v>
                </c:pt>
                <c:pt idx="80">
                  <c:v>3.2462</c:v>
                </c:pt>
                <c:pt idx="81">
                  <c:v>3.1810999999999998</c:v>
                </c:pt>
                <c:pt idx="82">
                  <c:v>3.3967000000000001</c:v>
                </c:pt>
                <c:pt idx="83">
                  <c:v>3.2591000000000001</c:v>
                </c:pt>
                <c:pt idx="84">
                  <c:v>3.1269999999999998</c:v>
                </c:pt>
                <c:pt idx="85">
                  <c:v>3.0992999999999999</c:v>
                </c:pt>
                <c:pt idx="86">
                  <c:v>3.1684000000000001</c:v>
                </c:pt>
                <c:pt idx="87">
                  <c:v>3.1983999999999999</c:v>
                </c:pt>
                <c:pt idx="88">
                  <c:v>3.2437</c:v>
                </c:pt>
                <c:pt idx="89">
                  <c:v>3.3081999999999998</c:v>
                </c:pt>
                <c:pt idx="90">
                  <c:v>3.1307</c:v>
                </c:pt>
                <c:pt idx="91">
                  <c:v>3.1471</c:v>
                </c:pt>
                <c:pt idx="92">
                  <c:v>3.1680000000000001</c:v>
                </c:pt>
                <c:pt idx="93">
                  <c:v>3.2768999999999999</c:v>
                </c:pt>
                <c:pt idx="94">
                  <c:v>3.2616000000000001</c:v>
                </c:pt>
                <c:pt idx="95">
                  <c:v>3.3079999999999998</c:v>
                </c:pt>
                <c:pt idx="96">
                  <c:v>3.1623999999999999</c:v>
                </c:pt>
                <c:pt idx="97">
                  <c:v>3.2448999999999999</c:v>
                </c:pt>
                <c:pt idx="98">
                  <c:v>3.3237999999999999</c:v>
                </c:pt>
                <c:pt idx="99">
                  <c:v>3.4811000000000001</c:v>
                </c:pt>
                <c:pt idx="100">
                  <c:v>3.7370000000000001</c:v>
                </c:pt>
                <c:pt idx="101">
                  <c:v>3.8557999999999999</c:v>
                </c:pt>
                <c:pt idx="102">
                  <c:v>3.7549000000000001</c:v>
                </c:pt>
                <c:pt idx="103">
                  <c:v>4.1353</c:v>
                </c:pt>
                <c:pt idx="104">
                  <c:v>4.0038999999999998</c:v>
                </c:pt>
                <c:pt idx="105">
                  <c:v>3.7176999999999998</c:v>
                </c:pt>
                <c:pt idx="106">
                  <c:v>3.8633000000000002</c:v>
                </c:pt>
                <c:pt idx="107">
                  <c:v>3.8748</c:v>
                </c:pt>
                <c:pt idx="108">
                  <c:v>3.6518999999999999</c:v>
                </c:pt>
                <c:pt idx="109">
                  <c:v>3.7385000000000002</c:v>
                </c:pt>
                <c:pt idx="110">
                  <c:v>3.8967000000000001</c:v>
                </c:pt>
                <c:pt idx="111">
                  <c:v>3.9453</c:v>
                </c:pt>
                <c:pt idx="112">
                  <c:v>3.9407000000000001</c:v>
                </c:pt>
                <c:pt idx="113">
                  <c:v>3.8321999999999998</c:v>
                </c:pt>
                <c:pt idx="114">
                  <c:v>3.7648999999999999</c:v>
                </c:pt>
                <c:pt idx="115">
                  <c:v>4.1384999999999996</c:v>
                </c:pt>
                <c:pt idx="116">
                  <c:v>4.0972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06-854B-9B12-222977DC0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5593128"/>
        <c:axId val="-2025596488"/>
      </c:scatterChart>
      <c:valAx>
        <c:axId val="-20287784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-2025599528"/>
        <c:crosses val="autoZero"/>
        <c:crossBetween val="midCat"/>
      </c:valAx>
      <c:valAx>
        <c:axId val="-20255995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-2028778456"/>
        <c:crosses val="autoZero"/>
        <c:crossBetween val="midCat"/>
      </c:valAx>
      <c:valAx>
        <c:axId val="-2025596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2025593128"/>
        <c:crosses val="max"/>
        <c:crossBetween val="midCat"/>
      </c:valAx>
      <c:valAx>
        <c:axId val="-20255931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-2025596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PETR4 X</a:t>
            </a:r>
            <a:r>
              <a:rPr lang="en-US" baseline="0"/>
              <a:t> VALE3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VALE3</c:v>
          </c:tx>
          <c:marker>
            <c:symbol val="none"/>
          </c:marker>
          <c:xVal>
            <c:numRef>
              <c:f>Correlação!$J$2:$J$118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Correlação!$K$2:$K$118</c:f>
              <c:numCache>
                <c:formatCode>General</c:formatCode>
                <c:ptCount val="117"/>
                <c:pt idx="0">
                  <c:v>32.93316136</c:v>
                </c:pt>
                <c:pt idx="1">
                  <c:v>33.970108171</c:v>
                </c:pt>
                <c:pt idx="2">
                  <c:v>38.481500138000001</c:v>
                </c:pt>
                <c:pt idx="3">
                  <c:v>36.008152516000003</c:v>
                </c:pt>
                <c:pt idx="4">
                  <c:v>33.905981652999998</c:v>
                </c:pt>
                <c:pt idx="5">
                  <c:v>29.599921983000002</c:v>
                </c:pt>
                <c:pt idx="6">
                  <c:v>32.922708184999998</c:v>
                </c:pt>
                <c:pt idx="7">
                  <c:v>31.790248397999999</c:v>
                </c:pt>
                <c:pt idx="8">
                  <c:v>35.465656809000002</c:v>
                </c:pt>
                <c:pt idx="9">
                  <c:v>36.726540513000003</c:v>
                </c:pt>
                <c:pt idx="10">
                  <c:v>36.699132646999999</c:v>
                </c:pt>
                <c:pt idx="11">
                  <c:v>37.911930720000001</c:v>
                </c:pt>
                <c:pt idx="12">
                  <c:v>39.320907771999998</c:v>
                </c:pt>
                <c:pt idx="13">
                  <c:v>38.783586327000002</c:v>
                </c:pt>
                <c:pt idx="14">
                  <c:v>36.751409068000001</c:v>
                </c:pt>
                <c:pt idx="15">
                  <c:v>36.105271641000002</c:v>
                </c:pt>
                <c:pt idx="16">
                  <c:v>35.031664413000001</c:v>
                </c:pt>
                <c:pt idx="17">
                  <c:v>34.501832274999998</c:v>
                </c:pt>
                <c:pt idx="18">
                  <c:v>34.982864085000003</c:v>
                </c:pt>
                <c:pt idx="19">
                  <c:v>31.913869465000001</c:v>
                </c:pt>
                <c:pt idx="20">
                  <c:v>30.382288676000002</c:v>
                </c:pt>
                <c:pt idx="21">
                  <c:v>31.878717930000001</c:v>
                </c:pt>
                <c:pt idx="22">
                  <c:v>30.376312098</c:v>
                </c:pt>
                <c:pt idx="23">
                  <c:v>28.771801014000001</c:v>
                </c:pt>
                <c:pt idx="24">
                  <c:v>32.600747917</c:v>
                </c:pt>
                <c:pt idx="25">
                  <c:v>31.762026214999999</c:v>
                </c:pt>
                <c:pt idx="26">
                  <c:v>31.287966122</c:v>
                </c:pt>
                <c:pt idx="27">
                  <c:v>31.851103968</c:v>
                </c:pt>
                <c:pt idx="28">
                  <c:v>28.105234699</c:v>
                </c:pt>
                <c:pt idx="29">
                  <c:v>30.004338081</c:v>
                </c:pt>
                <c:pt idx="30">
                  <c:v>27.776256159999999</c:v>
                </c:pt>
                <c:pt idx="31">
                  <c:v>25.256579626000001</c:v>
                </c:pt>
                <c:pt idx="32">
                  <c:v>27.282788352000001</c:v>
                </c:pt>
                <c:pt idx="33">
                  <c:v>28.900348210000001</c:v>
                </c:pt>
                <c:pt idx="34">
                  <c:v>29.016103944000001</c:v>
                </c:pt>
                <c:pt idx="35">
                  <c:v>32.627682839000002</c:v>
                </c:pt>
                <c:pt idx="36">
                  <c:v>31.068838957000001</c:v>
                </c:pt>
                <c:pt idx="37">
                  <c:v>29.170444922000001</c:v>
                </c:pt>
                <c:pt idx="38">
                  <c:v>26.932500735000001</c:v>
                </c:pt>
                <c:pt idx="39">
                  <c:v>27.137149474000001</c:v>
                </c:pt>
                <c:pt idx="40">
                  <c:v>24.126312452000001</c:v>
                </c:pt>
                <c:pt idx="41">
                  <c:v>23.056672983999999</c:v>
                </c:pt>
                <c:pt idx="42">
                  <c:v>24.577938006</c:v>
                </c:pt>
                <c:pt idx="43">
                  <c:v>27.271844815000001</c:v>
                </c:pt>
                <c:pt idx="44">
                  <c:v>27.303537836</c:v>
                </c:pt>
                <c:pt idx="45">
                  <c:v>29.091739829000002</c:v>
                </c:pt>
                <c:pt idx="46">
                  <c:v>29.189390423999999</c:v>
                </c:pt>
                <c:pt idx="47">
                  <c:v>29.059189630999999</c:v>
                </c:pt>
                <c:pt idx="48">
                  <c:v>26.894601435999999</c:v>
                </c:pt>
                <c:pt idx="49">
                  <c:v>26.853913687999999</c:v>
                </c:pt>
                <c:pt idx="50">
                  <c:v>25.568180851000001</c:v>
                </c:pt>
                <c:pt idx="51">
                  <c:v>24.596637204</c:v>
                </c:pt>
                <c:pt idx="52">
                  <c:v>23.760016890999999</c:v>
                </c:pt>
                <c:pt idx="53">
                  <c:v>24.462777954</c:v>
                </c:pt>
                <c:pt idx="54">
                  <c:v>27.231991189999999</c:v>
                </c:pt>
                <c:pt idx="55">
                  <c:v>24.362383516000001</c:v>
                </c:pt>
                <c:pt idx="56">
                  <c:v>22.463255405999998</c:v>
                </c:pt>
                <c:pt idx="57">
                  <c:v>21.700857637999999</c:v>
                </c:pt>
                <c:pt idx="58">
                  <c:v>20.225199318000001</c:v>
                </c:pt>
                <c:pt idx="59">
                  <c:v>19.018631633999998</c:v>
                </c:pt>
                <c:pt idx="60">
                  <c:v>16.154118425</c:v>
                </c:pt>
                <c:pt idx="61">
                  <c:v>18.445728991999999</c:v>
                </c:pt>
                <c:pt idx="62">
                  <c:v>15.572535439999999</c:v>
                </c:pt>
                <c:pt idx="63">
                  <c:v>20.312897518</c:v>
                </c:pt>
                <c:pt idx="64">
                  <c:v>17.981174182</c:v>
                </c:pt>
                <c:pt idx="65">
                  <c:v>16.402776847999998</c:v>
                </c:pt>
                <c:pt idx="66">
                  <c:v>16.026113847000001</c:v>
                </c:pt>
                <c:pt idx="67">
                  <c:v>16.070954681</c:v>
                </c:pt>
                <c:pt idx="68">
                  <c:v>14.869220346000001</c:v>
                </c:pt>
                <c:pt idx="69">
                  <c:v>15.607069787</c:v>
                </c:pt>
                <c:pt idx="70">
                  <c:v>12.048365129</c:v>
                </c:pt>
                <c:pt idx="71">
                  <c:v>11.920288354</c:v>
                </c:pt>
                <c:pt idx="72">
                  <c:v>8.8921874758000001</c:v>
                </c:pt>
                <c:pt idx="73">
                  <c:v>10.804190749</c:v>
                </c:pt>
                <c:pt idx="74">
                  <c:v>13.859736652</c:v>
                </c:pt>
                <c:pt idx="75">
                  <c:v>18.013083476999999</c:v>
                </c:pt>
                <c:pt idx="76">
                  <c:v>13.008940936</c:v>
                </c:pt>
                <c:pt idx="77">
                  <c:v>14.884350846</c:v>
                </c:pt>
                <c:pt idx="78">
                  <c:v>16.924430895</c:v>
                </c:pt>
                <c:pt idx="79">
                  <c:v>15.497289694999999</c:v>
                </c:pt>
                <c:pt idx="80">
                  <c:v>16.293195364999999</c:v>
                </c:pt>
                <c:pt idx="81">
                  <c:v>20.199536982000001</c:v>
                </c:pt>
                <c:pt idx="82">
                  <c:v>25.670244915000001</c:v>
                </c:pt>
                <c:pt idx="83">
                  <c:v>23.630968792000001</c:v>
                </c:pt>
                <c:pt idx="84">
                  <c:v>29.612327715999999</c:v>
                </c:pt>
                <c:pt idx="85">
                  <c:v>30.109240611000001</c:v>
                </c:pt>
                <c:pt idx="86">
                  <c:v>27.413028050000001</c:v>
                </c:pt>
                <c:pt idx="87">
                  <c:v>26.121453122999998</c:v>
                </c:pt>
                <c:pt idx="88">
                  <c:v>25.83618061</c:v>
                </c:pt>
                <c:pt idx="89">
                  <c:v>27.57634294</c:v>
                </c:pt>
                <c:pt idx="90">
                  <c:v>29.763432208000001</c:v>
                </c:pt>
                <c:pt idx="91">
                  <c:v>33.357865873999998</c:v>
                </c:pt>
                <c:pt idx="92">
                  <c:v>30.305449982999999</c:v>
                </c:pt>
                <c:pt idx="93">
                  <c:v>30.524158910000001</c:v>
                </c:pt>
                <c:pt idx="94">
                  <c:v>33.414920377000001</c:v>
                </c:pt>
                <c:pt idx="95">
                  <c:v>38.692518428</c:v>
                </c:pt>
                <c:pt idx="96">
                  <c:v>39.836187006000003</c:v>
                </c:pt>
                <c:pt idx="97">
                  <c:v>43.296024719000002</c:v>
                </c:pt>
                <c:pt idx="98">
                  <c:v>41.027447752</c:v>
                </c:pt>
                <c:pt idx="99">
                  <c:v>47.306464867999999</c:v>
                </c:pt>
                <c:pt idx="100">
                  <c:v>49.211553653000003</c:v>
                </c:pt>
                <c:pt idx="101">
                  <c:v>48.200690215999998</c:v>
                </c:pt>
                <c:pt idx="102">
                  <c:v>53.303606602999999</c:v>
                </c:pt>
                <c:pt idx="103">
                  <c:v>53.62</c:v>
                </c:pt>
                <c:pt idx="104">
                  <c:v>59.82</c:v>
                </c:pt>
                <c:pt idx="105">
                  <c:v>56.71</c:v>
                </c:pt>
                <c:pt idx="106">
                  <c:v>52.8</c:v>
                </c:pt>
                <c:pt idx="107">
                  <c:v>51</c:v>
                </c:pt>
                <c:pt idx="108">
                  <c:v>45.5</c:v>
                </c:pt>
                <c:pt idx="109">
                  <c:v>47.1</c:v>
                </c:pt>
                <c:pt idx="110">
                  <c:v>50.93</c:v>
                </c:pt>
                <c:pt idx="111">
                  <c:v>50.1</c:v>
                </c:pt>
                <c:pt idx="112">
                  <c:v>49</c:v>
                </c:pt>
                <c:pt idx="113">
                  <c:v>51.82</c:v>
                </c:pt>
                <c:pt idx="114">
                  <c:v>49.81</c:v>
                </c:pt>
                <c:pt idx="115">
                  <c:v>45.57</c:v>
                </c:pt>
                <c:pt idx="116">
                  <c:v>48.4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A-D44A-8BA5-512DD760E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8778456"/>
        <c:axId val="-2025599528"/>
      </c:scatterChart>
      <c:scatterChart>
        <c:scatterStyle val="lineMarker"/>
        <c:varyColors val="0"/>
        <c:ser>
          <c:idx val="1"/>
          <c:order val="1"/>
          <c:tx>
            <c:v>PETR4</c:v>
          </c:tx>
          <c:marker>
            <c:symbol val="none"/>
          </c:marker>
          <c:xVal>
            <c:numRef>
              <c:f>Correlação!$G$2:$G$118</c:f>
              <c:numCache>
                <c:formatCode>mmm\-yy</c:formatCode>
                <c:ptCount val="117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</c:numCache>
            </c:numRef>
          </c:xVal>
          <c:yVal>
            <c:numRef>
              <c:f>Correlação!$H$2:$H$118</c:f>
              <c:numCache>
                <c:formatCode>General</c:formatCode>
                <c:ptCount val="117"/>
                <c:pt idx="0">
                  <c:v>26.594684306000001</c:v>
                </c:pt>
                <c:pt idx="1">
                  <c:v>26.937138537999999</c:v>
                </c:pt>
                <c:pt idx="2">
                  <c:v>27.544216494</c:v>
                </c:pt>
                <c:pt idx="3">
                  <c:v>25.720818743999999</c:v>
                </c:pt>
                <c:pt idx="4">
                  <c:v>23.381021126</c:v>
                </c:pt>
                <c:pt idx="5">
                  <c:v>21.216696873</c:v>
                </c:pt>
                <c:pt idx="6">
                  <c:v>21.998697240999999</c:v>
                </c:pt>
                <c:pt idx="7">
                  <c:v>20.733672697999999</c:v>
                </c:pt>
                <c:pt idx="8">
                  <c:v>21.712276589999998</c:v>
                </c:pt>
                <c:pt idx="9">
                  <c:v>20.566593985000001</c:v>
                </c:pt>
                <c:pt idx="10">
                  <c:v>19.668067703999998</c:v>
                </c:pt>
                <c:pt idx="11">
                  <c:v>21.998364413000001</c:v>
                </c:pt>
                <c:pt idx="12">
                  <c:v>21.837145179</c:v>
                </c:pt>
                <c:pt idx="13">
                  <c:v>23.038228469</c:v>
                </c:pt>
                <c:pt idx="14">
                  <c:v>23.107252845000001</c:v>
                </c:pt>
                <c:pt idx="15">
                  <c:v>20.850461802000002</c:v>
                </c:pt>
                <c:pt idx="16">
                  <c:v>19.785420174999999</c:v>
                </c:pt>
                <c:pt idx="17">
                  <c:v>19.481534519</c:v>
                </c:pt>
                <c:pt idx="18">
                  <c:v>19.300845750000001</c:v>
                </c:pt>
                <c:pt idx="19">
                  <c:v>17.232046234999999</c:v>
                </c:pt>
                <c:pt idx="20">
                  <c:v>15.823657839999999</c:v>
                </c:pt>
                <c:pt idx="21">
                  <c:v>17.662847391</c:v>
                </c:pt>
                <c:pt idx="22">
                  <c:v>18.43552691</c:v>
                </c:pt>
                <c:pt idx="23">
                  <c:v>17.967323052000001</c:v>
                </c:pt>
                <c:pt idx="24">
                  <c:v>20.733270507</c:v>
                </c:pt>
                <c:pt idx="25">
                  <c:v>20.513870819000001</c:v>
                </c:pt>
                <c:pt idx="26">
                  <c:v>19.802891073000001</c:v>
                </c:pt>
                <c:pt idx="27">
                  <c:v>18.055826592999999</c:v>
                </c:pt>
                <c:pt idx="28">
                  <c:v>16.391816098</c:v>
                </c:pt>
                <c:pt idx="29">
                  <c:v>15.637775419</c:v>
                </c:pt>
                <c:pt idx="30">
                  <c:v>16.708855927999998</c:v>
                </c:pt>
                <c:pt idx="31">
                  <c:v>17.779936436</c:v>
                </c:pt>
                <c:pt idx="32">
                  <c:v>19.168056775</c:v>
                </c:pt>
                <c:pt idx="33">
                  <c:v>17.822779657000002</c:v>
                </c:pt>
                <c:pt idx="34">
                  <c:v>15.989089826000001</c:v>
                </c:pt>
                <c:pt idx="35">
                  <c:v>16.725993215999999</c:v>
                </c:pt>
                <c:pt idx="36">
                  <c:v>15.49210847</c:v>
                </c:pt>
                <c:pt idx="37">
                  <c:v>14.232517793</c:v>
                </c:pt>
                <c:pt idx="38">
                  <c:v>15.72346186</c:v>
                </c:pt>
                <c:pt idx="39">
                  <c:v>17.897848693</c:v>
                </c:pt>
                <c:pt idx="40">
                  <c:v>17.862213354000001</c:v>
                </c:pt>
                <c:pt idx="41">
                  <c:v>14.414494367</c:v>
                </c:pt>
                <c:pt idx="42">
                  <c:v>14.512491548</c:v>
                </c:pt>
                <c:pt idx="43">
                  <c:v>14.966842112</c:v>
                </c:pt>
                <c:pt idx="44">
                  <c:v>16.356620309</c:v>
                </c:pt>
                <c:pt idx="45">
                  <c:v>18.200749069</c:v>
                </c:pt>
                <c:pt idx="46">
                  <c:v>17.033691737000002</c:v>
                </c:pt>
                <c:pt idx="47">
                  <c:v>15.21628948</c:v>
                </c:pt>
                <c:pt idx="48">
                  <c:v>13.095986848000001</c:v>
                </c:pt>
                <c:pt idx="49">
                  <c:v>12.107106207999999</c:v>
                </c:pt>
                <c:pt idx="50">
                  <c:v>14.058140984</c:v>
                </c:pt>
                <c:pt idx="51">
                  <c:v>15.701971176000001</c:v>
                </c:pt>
                <c:pt idx="52">
                  <c:v>15.815684908</c:v>
                </c:pt>
                <c:pt idx="53">
                  <c:v>16.384253568999998</c:v>
                </c:pt>
                <c:pt idx="54">
                  <c:v>18.099435696</c:v>
                </c:pt>
                <c:pt idx="55">
                  <c:v>22.126797041</c:v>
                </c:pt>
                <c:pt idx="56">
                  <c:v>17.142345117000001</c:v>
                </c:pt>
                <c:pt idx="57">
                  <c:v>14.479548555999999</c:v>
                </c:pt>
                <c:pt idx="58">
                  <c:v>12.129464758999999</c:v>
                </c:pt>
                <c:pt idx="59">
                  <c:v>9.4950966318999992</c:v>
                </c:pt>
                <c:pt idx="60">
                  <c:v>7.7514860727999997</c:v>
                </c:pt>
                <c:pt idx="61">
                  <c:v>9.0686701364999998</c:v>
                </c:pt>
                <c:pt idx="62">
                  <c:v>9.2202884459999996</c:v>
                </c:pt>
                <c:pt idx="63">
                  <c:v>12.366368367</c:v>
                </c:pt>
                <c:pt idx="64">
                  <c:v>11.684085975</c:v>
                </c:pt>
                <c:pt idx="65">
                  <c:v>12.044179460000001</c:v>
                </c:pt>
                <c:pt idx="66">
                  <c:v>9.9499515604000006</c:v>
                </c:pt>
                <c:pt idx="67">
                  <c:v>8.7085766513999996</c:v>
                </c:pt>
                <c:pt idx="68">
                  <c:v>6.8607285044999999</c:v>
                </c:pt>
                <c:pt idx="69">
                  <c:v>7.3061072885999998</c:v>
                </c:pt>
                <c:pt idx="70">
                  <c:v>7.2682027112999998</c:v>
                </c:pt>
                <c:pt idx="71">
                  <c:v>6.3490167099999999</c:v>
                </c:pt>
                <c:pt idx="72">
                  <c:v>4.5864538620999999</c:v>
                </c:pt>
                <c:pt idx="73">
                  <c:v>4.8707381924000002</c:v>
                </c:pt>
                <c:pt idx="74">
                  <c:v>7.9125805266000002</c:v>
                </c:pt>
                <c:pt idx="75">
                  <c:v>9.6940956631000006</c:v>
                </c:pt>
                <c:pt idx="76">
                  <c:v>7.6188200519000002</c:v>
                </c:pt>
                <c:pt idx="77">
                  <c:v>8.9265279713000005</c:v>
                </c:pt>
                <c:pt idx="78">
                  <c:v>11.248183335</c:v>
                </c:pt>
                <c:pt idx="79">
                  <c:v>12.176845481000001</c:v>
                </c:pt>
                <c:pt idx="80">
                  <c:v>12.859127873</c:v>
                </c:pt>
                <c:pt idx="81">
                  <c:v>16.763299343</c:v>
                </c:pt>
                <c:pt idx="82">
                  <c:v>15.161830949000001</c:v>
                </c:pt>
                <c:pt idx="83">
                  <c:v>14.091026638000001</c:v>
                </c:pt>
                <c:pt idx="84">
                  <c:v>14.233168803</c:v>
                </c:pt>
                <c:pt idx="85">
                  <c:v>14.384787113</c:v>
                </c:pt>
                <c:pt idx="86">
                  <c:v>13.730933153000001</c:v>
                </c:pt>
                <c:pt idx="87">
                  <c:v>13.238173647</c:v>
                </c:pt>
                <c:pt idx="88">
                  <c:v>12.281083067999999</c:v>
                </c:pt>
                <c:pt idx="89">
                  <c:v>11.721990551999999</c:v>
                </c:pt>
                <c:pt idx="90">
                  <c:v>12.593795832</c:v>
                </c:pt>
                <c:pt idx="91">
                  <c:v>12.934937028</c:v>
                </c:pt>
                <c:pt idx="92">
                  <c:v>14.498500845000001</c:v>
                </c:pt>
                <c:pt idx="93">
                  <c:v>15.891494063</c:v>
                </c:pt>
                <c:pt idx="94">
                  <c:v>14.574309999</c:v>
                </c:pt>
                <c:pt idx="95">
                  <c:v>15.256592392</c:v>
                </c:pt>
                <c:pt idx="96">
                  <c:v>18.668004356000001</c:v>
                </c:pt>
                <c:pt idx="97">
                  <c:v>20.335805761</c:v>
                </c:pt>
                <c:pt idx="98">
                  <c:v>20.288425039</c:v>
                </c:pt>
                <c:pt idx="99">
                  <c:v>21.766703556</c:v>
                </c:pt>
                <c:pt idx="100">
                  <c:v>18.021693407000001</c:v>
                </c:pt>
                <c:pt idx="101">
                  <c:v>16.32207111</c:v>
                </c:pt>
                <c:pt idx="102">
                  <c:v>18.724330557999998</c:v>
                </c:pt>
                <c:pt idx="103">
                  <c:v>18.333297873999999</c:v>
                </c:pt>
                <c:pt idx="104">
                  <c:v>20.075246738000001</c:v>
                </c:pt>
                <c:pt idx="105">
                  <c:v>26.291053338000001</c:v>
                </c:pt>
                <c:pt idx="106">
                  <c:v>24.331651804</c:v>
                </c:pt>
                <c:pt idx="107">
                  <c:v>22.402550191</c:v>
                </c:pt>
                <c:pt idx="108">
                  <c:v>25.267073804999999</c:v>
                </c:pt>
                <c:pt idx="109">
                  <c:v>26.728968613999999</c:v>
                </c:pt>
                <c:pt idx="110">
                  <c:v>27.716735377999999</c:v>
                </c:pt>
                <c:pt idx="111">
                  <c:v>26.797073455</c:v>
                </c:pt>
                <c:pt idx="112">
                  <c:v>25.350779726999999</c:v>
                </c:pt>
                <c:pt idx="113">
                  <c:v>27.196276803</c:v>
                </c:pt>
                <c:pt idx="114">
                  <c:v>25.876647172999999</c:v>
                </c:pt>
                <c:pt idx="115">
                  <c:v>25.5</c:v>
                </c:pt>
                <c:pt idx="116">
                  <c:v>27.22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EA-D44A-8BA5-512DD760E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5593128"/>
        <c:axId val="-2025596488"/>
      </c:scatterChart>
      <c:valAx>
        <c:axId val="-20287784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-2025599528"/>
        <c:crosses val="autoZero"/>
        <c:crossBetween val="midCat"/>
      </c:valAx>
      <c:valAx>
        <c:axId val="-20255995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-2028778456"/>
        <c:crosses val="autoZero"/>
        <c:crossBetween val="midCat"/>
      </c:valAx>
      <c:valAx>
        <c:axId val="-2025596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2025593128"/>
        <c:crosses val="max"/>
        <c:crossBetween val="midCat"/>
      </c:valAx>
      <c:valAx>
        <c:axId val="-20255931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-2025596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97418571288841"/>
          <c:y val="4.6678165244046277E-2"/>
          <c:w val="0.74762377327116825"/>
          <c:h val="0.71397611761962054"/>
        </c:manualLayout>
      </c:layout>
      <c:scatterChart>
        <c:scatterStyle val="smoothMarker"/>
        <c:varyColors val="0"/>
        <c:ser>
          <c:idx val="0"/>
          <c:order val="0"/>
          <c:tx>
            <c:v>Fronteira de Markowitz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Markowitz!$E$17:$E$27</c:f>
              <c:numCache>
                <c:formatCode>0.00%</c:formatCode>
                <c:ptCount val="11"/>
                <c:pt idx="0">
                  <c:v>4.9986198095074222E-2</c:v>
                </c:pt>
                <c:pt idx="1">
                  <c:v>3.8987694853633008E-2</c:v>
                </c:pt>
                <c:pt idx="2">
                  <c:v>3.1991036244548264E-2</c:v>
                </c:pt>
                <c:pt idx="3">
                  <c:v>3.1761268079218745E-2</c:v>
                </c:pt>
                <c:pt idx="4">
                  <c:v>3.8419989588754436E-2</c:v>
                </c:pt>
                <c:pt idx="5">
                  <c:v>4.9248134482434938E-2</c:v>
                </c:pt>
                <c:pt idx="6">
                  <c:v>6.2101751988168544E-2</c:v>
                </c:pt>
                <c:pt idx="7">
                  <c:v>7.5959477025582478E-2</c:v>
                </c:pt>
                <c:pt idx="8">
                  <c:v>9.036051350009025E-2</c:v>
                </c:pt>
                <c:pt idx="9">
                  <c:v>0.10508172224511735</c:v>
                </c:pt>
                <c:pt idx="10">
                  <c:v>0.12000533321482003</c:v>
                </c:pt>
              </c:numCache>
            </c:numRef>
          </c:xVal>
          <c:yVal>
            <c:numRef>
              <c:f>Markowitz!$D$17:$D$27</c:f>
              <c:numCache>
                <c:formatCode>0.00%</c:formatCode>
                <c:ptCount val="11"/>
                <c:pt idx="0">
                  <c:v>7.9999999999999988E-2</c:v>
                </c:pt>
                <c:pt idx="1">
                  <c:v>9.7000000000000003E-2</c:v>
                </c:pt>
                <c:pt idx="2">
                  <c:v>0.11399999999999999</c:v>
                </c:pt>
                <c:pt idx="3">
                  <c:v>0.13099999999999998</c:v>
                </c:pt>
                <c:pt idx="4">
                  <c:v>0.14799999999999999</c:v>
                </c:pt>
                <c:pt idx="5">
                  <c:v>0.16499999999999998</c:v>
                </c:pt>
                <c:pt idx="6">
                  <c:v>0.182</c:v>
                </c:pt>
                <c:pt idx="7">
                  <c:v>0.19899999999999998</c:v>
                </c:pt>
                <c:pt idx="8">
                  <c:v>0.216</c:v>
                </c:pt>
                <c:pt idx="9">
                  <c:v>0.23300000000000001</c:v>
                </c:pt>
                <c:pt idx="10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5A-4C28-9295-281E8336EF3F}"/>
            </c:ext>
          </c:extLst>
        </c:ser>
        <c:ser>
          <c:idx val="1"/>
          <c:order val="1"/>
          <c:tx>
            <c:v>Carteira de Mínimo Risco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Markowitz!$E$40</c:f>
              <c:numCache>
                <c:formatCode>0.00%</c:formatCode>
                <c:ptCount val="1"/>
                <c:pt idx="0">
                  <c:v>3.0913329849724946E-2</c:v>
                </c:pt>
              </c:numCache>
            </c:numRef>
          </c:xVal>
          <c:yVal>
            <c:numRef>
              <c:f>Markowitz!$D$40</c:f>
              <c:numCache>
                <c:formatCode>0.00%</c:formatCode>
                <c:ptCount val="1"/>
                <c:pt idx="0">
                  <c:v>0.1230166762904194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5A-4C28-9295-281E8336EF3F}"/>
            </c:ext>
          </c:extLst>
        </c:ser>
        <c:ser>
          <c:idx val="2"/>
          <c:order val="2"/>
          <c:tx>
            <c:v>Carteira Ótima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Markowitz!$E$44</c:f>
              <c:numCache>
                <c:formatCode>0.00%</c:formatCode>
                <c:ptCount val="1"/>
                <c:pt idx="0">
                  <c:v>4.4275442682353179E-2</c:v>
                </c:pt>
              </c:numCache>
            </c:numRef>
          </c:xVal>
          <c:yVal>
            <c:numRef>
              <c:f>Markowitz!$D$44</c:f>
              <c:numCache>
                <c:formatCode>0.00%</c:formatCode>
                <c:ptCount val="1"/>
                <c:pt idx="0">
                  <c:v>0.1577278989093254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5A-4C28-9295-281E8336E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943200"/>
        <c:axId val="1599944160"/>
      </c:scatterChart>
      <c:valAx>
        <c:axId val="159994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Risco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9944160"/>
        <c:crosses val="autoZero"/>
        <c:crossBetween val="midCat"/>
      </c:valAx>
      <c:valAx>
        <c:axId val="15999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Retorno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994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8626675035049393E-2"/>
          <c:y val="0.8832885485797074"/>
          <c:w val="0.92153133252909913"/>
          <c:h val="0.11671145142029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'Risco Crédito'!$C$43:$C$50</c:f>
              <c:numCache>
                <c:formatCode>_("R$"* #,##0.00_);_("R$"* \(#,##0.00\);_("R$"* "-"??_);_(@_)</c:formatCode>
                <c:ptCount val="8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70000</c:v>
                </c:pt>
                <c:pt idx="5">
                  <c:v>80000</c:v>
                </c:pt>
                <c:pt idx="6">
                  <c:v>90000</c:v>
                </c:pt>
                <c:pt idx="7">
                  <c:v>100000</c:v>
                </c:pt>
              </c:numCache>
            </c:numRef>
          </c:cat>
          <c:val>
            <c:numRef>
              <c:f>'Risco Crédito'!$D$43:$D$50</c:f>
              <c:numCache>
                <c:formatCode>0.00%</c:formatCode>
                <c:ptCount val="8"/>
                <c:pt idx="0">
                  <c:v>0.83789999999999998</c:v>
                </c:pt>
                <c:pt idx="1">
                  <c:v>1.7100000000000001E-2</c:v>
                </c:pt>
                <c:pt idx="2">
                  <c:v>4.41E-2</c:v>
                </c:pt>
                <c:pt idx="3">
                  <c:v>9.0000000000000008E-4</c:v>
                </c:pt>
                <c:pt idx="4">
                  <c:v>9.3100000000000002E-2</c:v>
                </c:pt>
                <c:pt idx="5">
                  <c:v>1.9E-3</c:v>
                </c:pt>
                <c:pt idx="6">
                  <c:v>4.9000000000000007E-3</c:v>
                </c:pt>
                <c:pt idx="7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1-4C64-83F8-94A704397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402592"/>
        <c:axId val="1526419392"/>
      </c:barChart>
      <c:catAx>
        <c:axId val="1526402592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419392"/>
        <c:crosses val="autoZero"/>
        <c:auto val="1"/>
        <c:lblAlgn val="ctr"/>
        <c:lblOffset val="100"/>
        <c:noMultiLvlLbl val="0"/>
      </c:catAx>
      <c:valAx>
        <c:axId val="152641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40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8" Type="http://schemas.openxmlformats.org/officeDocument/2006/relationships/image" Target="../media/image2.png"/><Relationship Id="rId26" Type="http://schemas.openxmlformats.org/officeDocument/2006/relationships/image" Target="../media/image6.png"/><Relationship Id="rId39" Type="http://schemas.openxmlformats.org/officeDocument/2006/relationships/customXml" Target="../ink/ink14.xml"/><Relationship Id="rId21" Type="http://schemas.openxmlformats.org/officeDocument/2006/relationships/customXml" Target="../ink/ink5.xml"/><Relationship Id="rId34" Type="http://schemas.openxmlformats.org/officeDocument/2006/relationships/image" Target="../media/image11.png"/><Relationship Id="rId42" Type="http://schemas.openxmlformats.org/officeDocument/2006/relationships/image" Target="../media/image15.png"/><Relationship Id="rId47" Type="http://schemas.openxmlformats.org/officeDocument/2006/relationships/customXml" Target="../ink/ink18.xml"/><Relationship Id="rId50" Type="http://schemas.openxmlformats.org/officeDocument/2006/relationships/image" Target="../media/image19.png"/><Relationship Id="rId17" Type="http://schemas.openxmlformats.org/officeDocument/2006/relationships/customXml" Target="../ink/ink3.xml"/><Relationship Id="rId25" Type="http://schemas.openxmlformats.org/officeDocument/2006/relationships/customXml" Target="../ink/ink7.xml"/><Relationship Id="rId33" Type="http://schemas.openxmlformats.org/officeDocument/2006/relationships/customXml" Target="../ink/ink11.xml"/><Relationship Id="rId38" Type="http://schemas.openxmlformats.org/officeDocument/2006/relationships/image" Target="../media/image13.png"/><Relationship Id="rId46" Type="http://schemas.openxmlformats.org/officeDocument/2006/relationships/image" Target="../media/image17.png"/><Relationship Id="rId16" Type="http://schemas.openxmlformats.org/officeDocument/2006/relationships/image" Target="../media/image1.png"/><Relationship Id="rId20" Type="http://schemas.openxmlformats.org/officeDocument/2006/relationships/image" Target="../media/image3.png"/><Relationship Id="rId29" Type="http://schemas.openxmlformats.org/officeDocument/2006/relationships/customXml" Target="../ink/ink9.xml"/><Relationship Id="rId41" Type="http://schemas.openxmlformats.org/officeDocument/2006/relationships/customXml" Target="../ink/ink15.xml"/><Relationship Id="rId1" Type="http://schemas.openxmlformats.org/officeDocument/2006/relationships/customXml" Target="../ink/ink1.xml"/><Relationship Id="rId24" Type="http://schemas.openxmlformats.org/officeDocument/2006/relationships/image" Target="../media/image5.png"/><Relationship Id="rId32" Type="http://schemas.openxmlformats.org/officeDocument/2006/relationships/image" Target="../media/image10.png"/><Relationship Id="rId37" Type="http://schemas.openxmlformats.org/officeDocument/2006/relationships/customXml" Target="../ink/ink13.xml"/><Relationship Id="rId40" Type="http://schemas.openxmlformats.org/officeDocument/2006/relationships/image" Target="../media/image14.png"/><Relationship Id="rId45" Type="http://schemas.openxmlformats.org/officeDocument/2006/relationships/customXml" Target="../ink/ink17.xml"/><Relationship Id="rId15" Type="http://schemas.openxmlformats.org/officeDocument/2006/relationships/customXml" Target="../ink/ink2.xml"/><Relationship Id="rId23" Type="http://schemas.openxmlformats.org/officeDocument/2006/relationships/customXml" Target="../ink/ink6.xml"/><Relationship Id="rId28" Type="http://schemas.openxmlformats.org/officeDocument/2006/relationships/image" Target="../media/image8.png"/><Relationship Id="rId36" Type="http://schemas.openxmlformats.org/officeDocument/2006/relationships/image" Target="../media/image12.png"/><Relationship Id="rId49" Type="http://schemas.openxmlformats.org/officeDocument/2006/relationships/customXml" Target="../ink/ink19.xml"/><Relationship Id="rId19" Type="http://schemas.openxmlformats.org/officeDocument/2006/relationships/customXml" Target="../ink/ink4.xml"/><Relationship Id="rId31" Type="http://schemas.openxmlformats.org/officeDocument/2006/relationships/customXml" Target="../ink/ink10.xml"/><Relationship Id="rId44" Type="http://schemas.openxmlformats.org/officeDocument/2006/relationships/image" Target="../media/image16.png"/><Relationship Id="rId14" Type="http://schemas.openxmlformats.org/officeDocument/2006/relationships/image" Target="../media/image7.png"/><Relationship Id="rId22" Type="http://schemas.openxmlformats.org/officeDocument/2006/relationships/image" Target="../media/image4.png"/><Relationship Id="rId27" Type="http://schemas.openxmlformats.org/officeDocument/2006/relationships/customXml" Target="../ink/ink8.xml"/><Relationship Id="rId30" Type="http://schemas.openxmlformats.org/officeDocument/2006/relationships/image" Target="../media/image9.png"/><Relationship Id="rId35" Type="http://schemas.openxmlformats.org/officeDocument/2006/relationships/customXml" Target="../ink/ink12.xml"/><Relationship Id="rId43" Type="http://schemas.openxmlformats.org/officeDocument/2006/relationships/customXml" Target="../ink/ink16.xml"/><Relationship Id="rId48" Type="http://schemas.openxmlformats.org/officeDocument/2006/relationships/image" Target="../media/image18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customXml" Target="../ink/ink26.xml"/><Relationship Id="rId18" Type="http://schemas.openxmlformats.org/officeDocument/2006/relationships/customXml" Target="../ink/ink28.xml"/><Relationship Id="rId26" Type="http://schemas.openxmlformats.org/officeDocument/2006/relationships/customXml" Target="../ink/ink32.xml"/><Relationship Id="rId3" Type="http://schemas.openxmlformats.org/officeDocument/2006/relationships/customXml" Target="../ink/ink21.xml"/><Relationship Id="rId21" Type="http://schemas.openxmlformats.org/officeDocument/2006/relationships/image" Target="../media/image29.png"/><Relationship Id="rId7" Type="http://schemas.openxmlformats.org/officeDocument/2006/relationships/customXml" Target="../ink/ink23.xml"/><Relationship Id="rId12" Type="http://schemas.openxmlformats.org/officeDocument/2006/relationships/image" Target="../media/image25.png"/><Relationship Id="rId17" Type="http://schemas.openxmlformats.org/officeDocument/2006/relationships/image" Target="../media/image27.png"/><Relationship Id="rId25" Type="http://schemas.openxmlformats.org/officeDocument/2006/relationships/image" Target="../media/image31.png"/><Relationship Id="rId2" Type="http://schemas.openxmlformats.org/officeDocument/2006/relationships/image" Target="../media/image20.png"/><Relationship Id="rId16" Type="http://schemas.openxmlformats.org/officeDocument/2006/relationships/customXml" Target="../ink/ink27.xml"/><Relationship Id="rId20" Type="http://schemas.openxmlformats.org/officeDocument/2006/relationships/customXml" Target="../ink/ink29.xml"/><Relationship Id="rId1" Type="http://schemas.openxmlformats.org/officeDocument/2006/relationships/customXml" Target="../ink/ink20.xml"/><Relationship Id="rId6" Type="http://schemas.openxmlformats.org/officeDocument/2006/relationships/image" Target="../media/image22.png"/><Relationship Id="rId11" Type="http://schemas.openxmlformats.org/officeDocument/2006/relationships/customXml" Target="../ink/ink25.xml"/><Relationship Id="rId24" Type="http://schemas.openxmlformats.org/officeDocument/2006/relationships/customXml" Target="../ink/ink31.xml"/><Relationship Id="rId5" Type="http://schemas.openxmlformats.org/officeDocument/2006/relationships/customXml" Target="../ink/ink22.xml"/><Relationship Id="rId15" Type="http://schemas.openxmlformats.org/officeDocument/2006/relationships/chart" Target="../charts/chart4.xml"/><Relationship Id="rId23" Type="http://schemas.openxmlformats.org/officeDocument/2006/relationships/image" Target="../media/image30.png"/><Relationship Id="rId10" Type="http://schemas.openxmlformats.org/officeDocument/2006/relationships/image" Target="../media/image24.png"/><Relationship Id="rId19" Type="http://schemas.openxmlformats.org/officeDocument/2006/relationships/image" Target="../media/image28.png"/><Relationship Id="rId4" Type="http://schemas.openxmlformats.org/officeDocument/2006/relationships/image" Target="../media/image21.png"/><Relationship Id="rId9" Type="http://schemas.openxmlformats.org/officeDocument/2006/relationships/customXml" Target="../ink/ink24.xml"/><Relationship Id="rId14" Type="http://schemas.openxmlformats.org/officeDocument/2006/relationships/image" Target="../media/image26.png"/><Relationship Id="rId22" Type="http://schemas.openxmlformats.org/officeDocument/2006/relationships/customXml" Target="../ink/ink30.xml"/><Relationship Id="rId27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customXml" Target="../ink/ink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119414</xdr:rowOff>
    </xdr:from>
    <xdr:to>
      <xdr:col>11</xdr:col>
      <xdr:colOff>360</xdr:colOff>
      <xdr:row>1</xdr:row>
      <xdr:rowOff>119774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3" name="Tinta 72">
              <a:extLst>
                <a:ext uri="{FF2B5EF4-FFF2-40B4-BE49-F238E27FC236}">
                  <a16:creationId xmlns:a16="http://schemas.microsoft.com/office/drawing/2014/main" id="{BB6B4574-979A-9F54-1995-63B2C92FD6D1}"/>
                </a:ext>
              </a:extLst>
            </xdr14:cNvPr>
            <xdr14:cNvContentPartPr/>
          </xdr14:nvContentPartPr>
          <xdr14:nvPr macro=""/>
          <xdr14:xfrm>
            <a:off x="18462600" y="321120"/>
            <a:ext cx="360" cy="360"/>
          </xdr14:xfrm>
        </xdr:contentPart>
      </mc:Choice>
      <mc:Fallback xmlns="">
        <xdr:pic>
          <xdr:nvPicPr>
            <xdr:cNvPr id="73" name="Tinta 72">
              <a:extLst>
                <a:ext uri="{FF2B5EF4-FFF2-40B4-BE49-F238E27FC236}">
                  <a16:creationId xmlns:a16="http://schemas.microsoft.com/office/drawing/2014/main" id="{BB6B4574-979A-9F54-1995-63B2C92FD6D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8453600" y="31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403853</xdr:colOff>
      <xdr:row>7</xdr:row>
      <xdr:rowOff>65697</xdr:rowOff>
    </xdr:from>
    <xdr:to>
      <xdr:col>13</xdr:col>
      <xdr:colOff>550373</xdr:colOff>
      <xdr:row>8</xdr:row>
      <xdr:rowOff>28900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485056AE-DACC-729F-7C6E-8F41B3A78781}"/>
                </a:ext>
              </a:extLst>
            </xdr14:cNvPr>
            <xdr14:cNvContentPartPr/>
          </xdr14:nvContentPartPr>
          <xdr14:nvPr macro=""/>
          <xdr14:xfrm>
            <a:off x="11988635" y="1454760"/>
            <a:ext cx="146520" cy="16164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485056AE-DACC-729F-7C6E-8F41B3A7878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1982515" y="1448640"/>
              <a:ext cx="15876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452093</xdr:colOff>
      <xdr:row>6</xdr:row>
      <xdr:rowOff>71175</xdr:rowOff>
    </xdr:from>
    <xdr:to>
      <xdr:col>13</xdr:col>
      <xdr:colOff>607613</xdr:colOff>
      <xdr:row>6</xdr:row>
      <xdr:rowOff>179175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B61743C3-BCD9-7E20-A3B5-F324C81239D6}"/>
                </a:ext>
              </a:extLst>
            </xdr14:cNvPr>
            <xdr14:cNvContentPartPr/>
          </xdr14:nvContentPartPr>
          <xdr14:nvPr macro=""/>
          <xdr14:xfrm>
            <a:off x="12036875" y="1261800"/>
            <a:ext cx="155520" cy="108000"/>
          </xdr14:xfrm>
        </xdr:contentPart>
      </mc:Choice>
      <mc:Fallback xmlns="">
        <xdr:pic>
          <xdr:nvPicPr>
            <xdr:cNvPr id="3" name="Tinta 2">
              <a:extLst>
                <a:ext uri="{FF2B5EF4-FFF2-40B4-BE49-F238E27FC236}">
                  <a16:creationId xmlns:a16="http://schemas.microsoft.com/office/drawing/2014/main" id="{B61743C3-BCD9-7E20-A3B5-F324C81239D6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2030755" y="1255680"/>
              <a:ext cx="167760" cy="12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627053</xdr:colOff>
      <xdr:row>7</xdr:row>
      <xdr:rowOff>154617</xdr:rowOff>
    </xdr:from>
    <xdr:to>
      <xdr:col>13</xdr:col>
      <xdr:colOff>772133</xdr:colOff>
      <xdr:row>8</xdr:row>
      <xdr:rowOff>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A42A45DA-B5B7-1416-C7FB-664E10D9644B}"/>
                </a:ext>
              </a:extLst>
            </xdr14:cNvPr>
            <xdr14:cNvContentPartPr/>
          </xdr14:nvContentPartPr>
          <xdr14:nvPr macro=""/>
          <xdr14:xfrm>
            <a:off x="12211835" y="1543680"/>
            <a:ext cx="145080" cy="4788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A42A45DA-B5B7-1416-C7FB-664E10D9644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2205715" y="1537606"/>
              <a:ext cx="157320" cy="600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646761</xdr:colOff>
      <xdr:row>5</xdr:row>
      <xdr:rowOff>194012</xdr:rowOff>
    </xdr:from>
    <xdr:to>
      <xdr:col>15</xdr:col>
      <xdr:colOff>763401</xdr:colOff>
      <xdr:row>6</xdr:row>
      <xdr:rowOff>56415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9" name="Tinta 28">
              <a:extLst>
                <a:ext uri="{FF2B5EF4-FFF2-40B4-BE49-F238E27FC236}">
                  <a16:creationId xmlns:a16="http://schemas.microsoft.com/office/drawing/2014/main" id="{47C93166-8C93-6031-91EE-C01105D8EE8E}"/>
                </a:ext>
              </a:extLst>
            </xdr14:cNvPr>
            <xdr14:cNvContentPartPr/>
          </xdr14:nvContentPartPr>
          <xdr14:nvPr macro=""/>
          <xdr14:xfrm>
            <a:off x="13906355" y="1186200"/>
            <a:ext cx="116640" cy="60840"/>
          </xdr14:xfrm>
        </xdr:contentPart>
      </mc:Choice>
      <mc:Fallback xmlns="">
        <xdr:pic>
          <xdr:nvPicPr>
            <xdr:cNvPr id="29" name="Tinta 28">
              <a:extLst>
                <a:ext uri="{FF2B5EF4-FFF2-40B4-BE49-F238E27FC236}">
                  <a16:creationId xmlns:a16="http://schemas.microsoft.com/office/drawing/2014/main" id="{47C93166-8C93-6031-91EE-C01105D8EE8E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3900235" y="1180080"/>
              <a:ext cx="12888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360921</xdr:colOff>
      <xdr:row>6</xdr:row>
      <xdr:rowOff>121575</xdr:rowOff>
    </xdr:from>
    <xdr:to>
      <xdr:col>15</xdr:col>
      <xdr:colOff>794721</xdr:colOff>
      <xdr:row>7</xdr:row>
      <xdr:rowOff>185217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31" name="Tinta 30">
              <a:extLst>
                <a:ext uri="{FF2B5EF4-FFF2-40B4-BE49-F238E27FC236}">
                  <a16:creationId xmlns:a16="http://schemas.microsoft.com/office/drawing/2014/main" id="{1B51685B-95FA-2E29-C74E-8B038D81E872}"/>
                </a:ext>
              </a:extLst>
            </xdr14:cNvPr>
            <xdr14:cNvContentPartPr/>
          </xdr14:nvContentPartPr>
          <xdr14:nvPr macro=""/>
          <xdr14:xfrm>
            <a:off x="13620515" y="1312200"/>
            <a:ext cx="433800" cy="262080"/>
          </xdr14:xfrm>
        </xdr:contentPart>
      </mc:Choice>
      <mc:Fallback xmlns="">
        <xdr:pic>
          <xdr:nvPicPr>
            <xdr:cNvPr id="31" name="Tinta 30">
              <a:extLst>
                <a:ext uri="{FF2B5EF4-FFF2-40B4-BE49-F238E27FC236}">
                  <a16:creationId xmlns:a16="http://schemas.microsoft.com/office/drawing/2014/main" id="{1B51685B-95FA-2E29-C74E-8B038D81E872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3614390" y="1306072"/>
              <a:ext cx="446050" cy="274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87367</xdr:colOff>
      <xdr:row>6</xdr:row>
      <xdr:rowOff>22575</xdr:rowOff>
    </xdr:from>
    <xdr:to>
      <xdr:col>15</xdr:col>
      <xdr:colOff>218721</xdr:colOff>
      <xdr:row>8</xdr:row>
      <xdr:rowOff>14500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32" name="Tinta 31">
              <a:extLst>
                <a:ext uri="{FF2B5EF4-FFF2-40B4-BE49-F238E27FC236}">
                  <a16:creationId xmlns:a16="http://schemas.microsoft.com/office/drawing/2014/main" id="{77CF1601-A1C3-3BEB-37B5-0A8940B96730}"/>
                </a:ext>
              </a:extLst>
            </xdr14:cNvPr>
            <xdr14:cNvContentPartPr/>
          </xdr14:nvContentPartPr>
          <xdr14:nvPr macro=""/>
          <xdr14:xfrm>
            <a:off x="12509555" y="1213200"/>
            <a:ext cx="968760" cy="388800"/>
          </xdr14:xfrm>
        </xdr:contentPart>
      </mc:Choice>
      <mc:Fallback xmlns="">
        <xdr:pic>
          <xdr:nvPicPr>
            <xdr:cNvPr id="32" name="Tinta 31">
              <a:extLst>
                <a:ext uri="{FF2B5EF4-FFF2-40B4-BE49-F238E27FC236}">
                  <a16:creationId xmlns:a16="http://schemas.microsoft.com/office/drawing/2014/main" id="{77CF1601-A1C3-3BEB-37B5-0A8940B96730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2503435" y="1207080"/>
              <a:ext cx="981000" cy="40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98887</xdr:colOff>
      <xdr:row>8</xdr:row>
      <xdr:rowOff>38260</xdr:rowOff>
    </xdr:from>
    <xdr:to>
      <xdr:col>16</xdr:col>
      <xdr:colOff>104915</xdr:colOff>
      <xdr:row>8</xdr:row>
      <xdr:rowOff>60220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33" name="Tinta 32">
              <a:extLst>
                <a:ext uri="{FF2B5EF4-FFF2-40B4-BE49-F238E27FC236}">
                  <a16:creationId xmlns:a16="http://schemas.microsoft.com/office/drawing/2014/main" id="{D10E0297-16DD-95D5-A73B-1C7020EE84EE}"/>
                </a:ext>
              </a:extLst>
            </xdr14:cNvPr>
            <xdr14:cNvContentPartPr/>
          </xdr14:nvContentPartPr>
          <xdr14:nvPr macro=""/>
          <xdr14:xfrm>
            <a:off x="12521075" y="1625760"/>
            <a:ext cx="1680840" cy="21960"/>
          </xdr14:xfrm>
        </xdr:contentPart>
      </mc:Choice>
      <mc:Fallback xmlns="">
        <xdr:pic>
          <xdr:nvPicPr>
            <xdr:cNvPr id="33" name="Tinta 32">
              <a:extLst>
                <a:ext uri="{FF2B5EF4-FFF2-40B4-BE49-F238E27FC236}">
                  <a16:creationId xmlns:a16="http://schemas.microsoft.com/office/drawing/2014/main" id="{D10E0297-16DD-95D5-A73B-1C7020EE84EE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2514955" y="1619640"/>
              <a:ext cx="169308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702247</xdr:colOff>
      <xdr:row>8</xdr:row>
      <xdr:rowOff>125020</xdr:rowOff>
    </xdr:from>
    <xdr:to>
      <xdr:col>15</xdr:col>
      <xdr:colOff>135921</xdr:colOff>
      <xdr:row>9</xdr:row>
      <xdr:rowOff>75622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34" name="Tinta 33">
              <a:extLst>
                <a:ext uri="{FF2B5EF4-FFF2-40B4-BE49-F238E27FC236}">
                  <a16:creationId xmlns:a16="http://schemas.microsoft.com/office/drawing/2014/main" id="{AA03C7DF-4BC4-9B21-C191-374F1885311E}"/>
                </a:ext>
              </a:extLst>
            </xdr14:cNvPr>
            <xdr14:cNvContentPartPr/>
          </xdr14:nvContentPartPr>
          <xdr14:nvPr macro=""/>
          <xdr14:xfrm>
            <a:off x="13124435" y="1712520"/>
            <a:ext cx="271080" cy="149040"/>
          </xdr14:xfrm>
        </xdr:contentPart>
      </mc:Choice>
      <mc:Fallback xmlns="">
        <xdr:pic>
          <xdr:nvPicPr>
            <xdr:cNvPr id="34" name="Tinta 33">
              <a:extLst>
                <a:ext uri="{FF2B5EF4-FFF2-40B4-BE49-F238E27FC236}">
                  <a16:creationId xmlns:a16="http://schemas.microsoft.com/office/drawing/2014/main" id="{AA03C7DF-4BC4-9B21-C191-374F1885311E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3118315" y="1706400"/>
              <a:ext cx="28332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515453</xdr:colOff>
      <xdr:row>10</xdr:row>
      <xdr:rowOff>7145</xdr:rowOff>
    </xdr:from>
    <xdr:to>
      <xdr:col>15</xdr:col>
      <xdr:colOff>138440</xdr:colOff>
      <xdr:row>14</xdr:row>
      <xdr:rowOff>41982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50" name="Tinta 49">
              <a:extLst>
                <a:ext uri="{FF2B5EF4-FFF2-40B4-BE49-F238E27FC236}">
                  <a16:creationId xmlns:a16="http://schemas.microsoft.com/office/drawing/2014/main" id="{6640CF57-72E5-5F7A-AAB7-D5CFB6DB9BE1}"/>
                </a:ext>
              </a:extLst>
            </xdr14:cNvPr>
            <xdr14:cNvContentPartPr/>
          </xdr14:nvContentPartPr>
          <xdr14:nvPr macro=""/>
          <xdr14:xfrm>
            <a:off x="12100235" y="1991520"/>
            <a:ext cx="1297800" cy="725400"/>
          </xdr14:xfrm>
        </xdr:contentPart>
      </mc:Choice>
      <mc:Fallback xmlns="">
        <xdr:pic>
          <xdr:nvPicPr>
            <xdr:cNvPr id="50" name="Tinta 49">
              <a:extLst>
                <a:ext uri="{FF2B5EF4-FFF2-40B4-BE49-F238E27FC236}">
                  <a16:creationId xmlns:a16="http://schemas.microsoft.com/office/drawing/2014/main" id="{6640CF57-72E5-5F7A-AAB7-D5CFB6DB9BE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2094115" y="1985400"/>
              <a:ext cx="1310040" cy="73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710274</xdr:colOff>
      <xdr:row>15</xdr:row>
      <xdr:rowOff>113905</xdr:rowOff>
    </xdr:from>
    <xdr:to>
      <xdr:col>14</xdr:col>
      <xdr:colOff>8947</xdr:colOff>
      <xdr:row>16</xdr:row>
      <xdr:rowOff>112027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54" name="Tinta 53">
              <a:extLst>
                <a:ext uri="{FF2B5EF4-FFF2-40B4-BE49-F238E27FC236}">
                  <a16:creationId xmlns:a16="http://schemas.microsoft.com/office/drawing/2014/main" id="{6DEE7AB6-8D46-7D02-15FE-0CA59FC89115}"/>
                </a:ext>
              </a:extLst>
            </xdr14:cNvPr>
            <xdr14:cNvContentPartPr/>
          </xdr14:nvContentPartPr>
          <xdr14:nvPr macro=""/>
          <xdr14:xfrm>
            <a:off x="12295056" y="2987280"/>
            <a:ext cx="136080" cy="196560"/>
          </xdr14:xfrm>
        </xdr:contentPart>
      </mc:Choice>
      <mc:Fallback xmlns="">
        <xdr:pic>
          <xdr:nvPicPr>
            <xdr:cNvPr id="54" name="Tinta 53">
              <a:extLst>
                <a:ext uri="{FF2B5EF4-FFF2-40B4-BE49-F238E27FC236}">
                  <a16:creationId xmlns:a16="http://schemas.microsoft.com/office/drawing/2014/main" id="{6DEE7AB6-8D46-7D02-15FE-0CA59FC89115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2288936" y="2981160"/>
              <a:ext cx="148320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11468</xdr:colOff>
      <xdr:row>14</xdr:row>
      <xdr:rowOff>171222</xdr:rowOff>
    </xdr:from>
    <xdr:to>
      <xdr:col>14</xdr:col>
      <xdr:colOff>137468</xdr:colOff>
      <xdr:row>15</xdr:row>
      <xdr:rowOff>39745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55" name="Tinta 54">
              <a:extLst>
                <a:ext uri="{FF2B5EF4-FFF2-40B4-BE49-F238E27FC236}">
                  <a16:creationId xmlns:a16="http://schemas.microsoft.com/office/drawing/2014/main" id="{F61B0B29-67B5-92BD-AD74-61C169834ABE}"/>
                </a:ext>
              </a:extLst>
            </xdr14:cNvPr>
            <xdr14:cNvContentPartPr/>
          </xdr14:nvContentPartPr>
          <xdr14:nvPr macro=""/>
          <xdr14:xfrm>
            <a:off x="12433656" y="2846160"/>
            <a:ext cx="126000" cy="66960"/>
          </xdr14:xfrm>
        </xdr:contentPart>
      </mc:Choice>
      <mc:Fallback xmlns="">
        <xdr:pic>
          <xdr:nvPicPr>
            <xdr:cNvPr id="55" name="Tinta 54">
              <a:extLst>
                <a:ext uri="{FF2B5EF4-FFF2-40B4-BE49-F238E27FC236}">
                  <a16:creationId xmlns:a16="http://schemas.microsoft.com/office/drawing/2014/main" id="{F61B0B29-67B5-92BD-AD74-61C169834ABE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2427536" y="2840040"/>
              <a:ext cx="138240" cy="7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43508</xdr:colOff>
      <xdr:row>15</xdr:row>
      <xdr:rowOff>179065</xdr:rowOff>
    </xdr:from>
    <xdr:to>
      <xdr:col>15</xdr:col>
      <xdr:colOff>275662</xdr:colOff>
      <xdr:row>16</xdr:row>
      <xdr:rowOff>140827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65" name="Tinta 64">
              <a:extLst>
                <a:ext uri="{FF2B5EF4-FFF2-40B4-BE49-F238E27FC236}">
                  <a16:creationId xmlns:a16="http://schemas.microsoft.com/office/drawing/2014/main" id="{8195C7CF-A4FB-9BA1-6131-B9A0D91DFFBD}"/>
                </a:ext>
              </a:extLst>
            </xdr14:cNvPr>
            <xdr14:cNvContentPartPr/>
          </xdr14:nvContentPartPr>
          <xdr14:nvPr macro=""/>
          <xdr14:xfrm>
            <a:off x="12465696" y="3052440"/>
            <a:ext cx="1069560" cy="160200"/>
          </xdr14:xfrm>
        </xdr:contentPart>
      </mc:Choice>
      <mc:Fallback xmlns="">
        <xdr:pic>
          <xdr:nvPicPr>
            <xdr:cNvPr id="65" name="Tinta 64">
              <a:extLst>
                <a:ext uri="{FF2B5EF4-FFF2-40B4-BE49-F238E27FC236}">
                  <a16:creationId xmlns:a16="http://schemas.microsoft.com/office/drawing/2014/main" id="{8195C7CF-A4FB-9BA1-6131-B9A0D91DFFB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2459576" y="3046334"/>
              <a:ext cx="1081800" cy="1724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216622</xdr:colOff>
      <xdr:row>15</xdr:row>
      <xdr:rowOff>7345</xdr:rowOff>
    </xdr:from>
    <xdr:to>
      <xdr:col>15</xdr:col>
      <xdr:colOff>278182</xdr:colOff>
      <xdr:row>15</xdr:row>
      <xdr:rowOff>55945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66" name="Tinta 65">
              <a:extLst>
                <a:ext uri="{FF2B5EF4-FFF2-40B4-BE49-F238E27FC236}">
                  <a16:creationId xmlns:a16="http://schemas.microsoft.com/office/drawing/2014/main" id="{9D46E22B-A164-DE13-4D7B-D8BB16F844C5}"/>
                </a:ext>
              </a:extLst>
            </xdr14:cNvPr>
            <xdr14:cNvContentPartPr/>
          </xdr14:nvContentPartPr>
          <xdr14:nvPr macro=""/>
          <xdr14:xfrm>
            <a:off x="13476216" y="2880720"/>
            <a:ext cx="61560" cy="48600"/>
          </xdr14:xfrm>
        </xdr:contentPart>
      </mc:Choice>
      <mc:Fallback xmlns="">
        <xdr:pic>
          <xdr:nvPicPr>
            <xdr:cNvPr id="66" name="Tinta 65">
              <a:extLst>
                <a:ext uri="{FF2B5EF4-FFF2-40B4-BE49-F238E27FC236}">
                  <a16:creationId xmlns:a16="http://schemas.microsoft.com/office/drawing/2014/main" id="{9D46E22B-A164-DE13-4D7B-D8BB16F844C5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3470096" y="2874600"/>
              <a:ext cx="73800" cy="6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332902</xdr:colOff>
      <xdr:row>16</xdr:row>
      <xdr:rowOff>19867</xdr:rowOff>
    </xdr:from>
    <xdr:to>
      <xdr:col>15</xdr:col>
      <xdr:colOff>517582</xdr:colOff>
      <xdr:row>17</xdr:row>
      <xdr:rowOff>14390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67" name="Tinta 66">
              <a:extLst>
                <a:ext uri="{FF2B5EF4-FFF2-40B4-BE49-F238E27FC236}">
                  <a16:creationId xmlns:a16="http://schemas.microsoft.com/office/drawing/2014/main" id="{E3D97172-B7CF-8FB1-93D8-79A7F3194E95}"/>
                </a:ext>
              </a:extLst>
            </xdr14:cNvPr>
            <xdr14:cNvContentPartPr/>
          </xdr14:nvContentPartPr>
          <xdr14:nvPr macro=""/>
          <xdr14:xfrm>
            <a:off x="13592496" y="3091680"/>
            <a:ext cx="184680" cy="192960"/>
          </xdr14:xfrm>
        </xdr:contentPart>
      </mc:Choice>
      <mc:Fallback xmlns="">
        <xdr:pic>
          <xdr:nvPicPr>
            <xdr:cNvPr id="67" name="Tinta 66">
              <a:extLst>
                <a:ext uri="{FF2B5EF4-FFF2-40B4-BE49-F238E27FC236}">
                  <a16:creationId xmlns:a16="http://schemas.microsoft.com/office/drawing/2014/main" id="{E3D97172-B7CF-8FB1-93D8-79A7F3194E95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3586376" y="3085560"/>
              <a:ext cx="19692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380874</xdr:colOff>
      <xdr:row>14</xdr:row>
      <xdr:rowOff>149982</xdr:rowOff>
    </xdr:from>
    <xdr:to>
      <xdr:col>14</xdr:col>
      <xdr:colOff>286147</xdr:colOff>
      <xdr:row>17</xdr:row>
      <xdr:rowOff>26990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68" name="Tinta 67">
              <a:extLst>
                <a:ext uri="{FF2B5EF4-FFF2-40B4-BE49-F238E27FC236}">
                  <a16:creationId xmlns:a16="http://schemas.microsoft.com/office/drawing/2014/main" id="{DD65ADE7-3ADC-8E6D-5FCA-111538DF4EB9}"/>
                </a:ext>
              </a:extLst>
            </xdr14:cNvPr>
            <xdr14:cNvContentPartPr/>
          </xdr14:nvContentPartPr>
          <xdr14:nvPr macro=""/>
          <xdr14:xfrm>
            <a:off x="11965656" y="2824920"/>
            <a:ext cx="742680" cy="472320"/>
          </xdr14:xfrm>
        </xdr:contentPart>
      </mc:Choice>
      <mc:Fallback xmlns="">
        <xdr:pic>
          <xdr:nvPicPr>
            <xdr:cNvPr id="68" name="Tinta 67">
              <a:extLst>
                <a:ext uri="{FF2B5EF4-FFF2-40B4-BE49-F238E27FC236}">
                  <a16:creationId xmlns:a16="http://schemas.microsoft.com/office/drawing/2014/main" id="{DD65ADE7-3ADC-8E6D-5FCA-111538DF4EB9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1959536" y="2818800"/>
              <a:ext cx="754920" cy="48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471908</xdr:colOff>
      <xdr:row>14</xdr:row>
      <xdr:rowOff>164742</xdr:rowOff>
    </xdr:from>
    <xdr:to>
      <xdr:col>15</xdr:col>
      <xdr:colOff>571582</xdr:colOff>
      <xdr:row>16</xdr:row>
      <xdr:rowOff>170707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69" name="Tinta 68">
              <a:extLst>
                <a:ext uri="{FF2B5EF4-FFF2-40B4-BE49-F238E27FC236}">
                  <a16:creationId xmlns:a16="http://schemas.microsoft.com/office/drawing/2014/main" id="{227FA9A4-6B6C-E2D9-86BB-F360D0F31DCE}"/>
                </a:ext>
              </a:extLst>
            </xdr14:cNvPr>
            <xdr14:cNvContentPartPr/>
          </xdr14:nvContentPartPr>
          <xdr14:nvPr macro=""/>
          <xdr14:xfrm>
            <a:off x="12894096" y="2839680"/>
            <a:ext cx="937080" cy="402840"/>
          </xdr14:xfrm>
        </xdr:contentPart>
      </mc:Choice>
      <mc:Fallback xmlns="">
        <xdr:pic>
          <xdr:nvPicPr>
            <xdr:cNvPr id="69" name="Tinta 68">
              <a:extLst>
                <a:ext uri="{FF2B5EF4-FFF2-40B4-BE49-F238E27FC236}">
                  <a16:creationId xmlns:a16="http://schemas.microsoft.com/office/drawing/2014/main" id="{227FA9A4-6B6C-E2D9-86BB-F360D0F31DCE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2887976" y="2833560"/>
              <a:ext cx="949320" cy="41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647634</xdr:colOff>
      <xdr:row>18</xdr:row>
      <xdr:rowOff>144992</xdr:rowOff>
    </xdr:from>
    <xdr:to>
      <xdr:col>15</xdr:col>
      <xdr:colOff>108261</xdr:colOff>
      <xdr:row>20</xdr:row>
      <xdr:rowOff>164277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80" name="Tinta 79">
              <a:extLst>
                <a:ext uri="{FF2B5EF4-FFF2-40B4-BE49-F238E27FC236}">
                  <a16:creationId xmlns:a16="http://schemas.microsoft.com/office/drawing/2014/main" id="{EA045762-0F51-EBC7-8DD4-90162390388C}"/>
                </a:ext>
              </a:extLst>
            </xdr14:cNvPr>
            <xdr14:cNvContentPartPr/>
          </xdr14:nvContentPartPr>
          <xdr14:nvPr macro=""/>
          <xdr14:xfrm>
            <a:off x="12232416" y="3613680"/>
            <a:ext cx="1135440" cy="416160"/>
          </xdr14:xfrm>
        </xdr:contentPart>
      </mc:Choice>
      <mc:Fallback xmlns="">
        <xdr:pic>
          <xdr:nvPicPr>
            <xdr:cNvPr id="80" name="Tinta 79">
              <a:extLst>
                <a:ext uri="{FF2B5EF4-FFF2-40B4-BE49-F238E27FC236}">
                  <a16:creationId xmlns:a16="http://schemas.microsoft.com/office/drawing/2014/main" id="{EA045762-0F51-EBC7-8DD4-90162390388C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2226296" y="3607565"/>
              <a:ext cx="1147680" cy="4283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213834</xdr:colOff>
      <xdr:row>17</xdr:row>
      <xdr:rowOff>71990</xdr:rowOff>
    </xdr:from>
    <xdr:to>
      <xdr:col>15</xdr:col>
      <xdr:colOff>719541</xdr:colOff>
      <xdr:row>22</xdr:row>
      <xdr:rowOff>100762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84" name="Tinta 83">
              <a:extLst>
                <a:ext uri="{FF2B5EF4-FFF2-40B4-BE49-F238E27FC236}">
                  <a16:creationId xmlns:a16="http://schemas.microsoft.com/office/drawing/2014/main" id="{DA2C622C-1430-03B3-1B56-25C925523076}"/>
                </a:ext>
              </a:extLst>
            </xdr14:cNvPr>
            <xdr14:cNvContentPartPr/>
          </xdr14:nvContentPartPr>
          <xdr14:nvPr macro=""/>
          <xdr14:xfrm>
            <a:off x="11798616" y="3342240"/>
            <a:ext cx="2180520" cy="1020960"/>
          </xdr14:xfrm>
        </xdr:contentPart>
      </mc:Choice>
      <mc:Fallback xmlns="">
        <xdr:pic>
          <xdr:nvPicPr>
            <xdr:cNvPr id="84" name="Tinta 83">
              <a:extLst>
                <a:ext uri="{FF2B5EF4-FFF2-40B4-BE49-F238E27FC236}">
                  <a16:creationId xmlns:a16="http://schemas.microsoft.com/office/drawing/2014/main" id="{DA2C622C-1430-03B3-1B56-25C925523076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1792496" y="3336120"/>
              <a:ext cx="2192760" cy="1033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317500</xdr:colOff>
      <xdr:row>2</xdr:row>
      <xdr:rowOff>165100</xdr:rowOff>
    </xdr:from>
    <xdr:to>
      <xdr:col>22</xdr:col>
      <xdr:colOff>330200</xdr:colOff>
      <xdr:row>24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EFAE6-0211-A84E-97B0-D12068857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368300</xdr:colOff>
      <xdr:row>25</xdr:row>
      <xdr:rowOff>127000</xdr:rowOff>
    </xdr:from>
    <xdr:to>
      <xdr:col>22</xdr:col>
      <xdr:colOff>381000</xdr:colOff>
      <xdr:row>47</xdr:row>
      <xdr:rowOff>88900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7A3F7CD-365C-B24D-AC76-0D50F8D90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144858</xdr:colOff>
      <xdr:row>35</xdr:row>
      <xdr:rowOff>146844</xdr:rowOff>
    </xdr:from>
    <xdr:to>
      <xdr:col>10</xdr:col>
      <xdr:colOff>750093</xdr:colOff>
      <xdr:row>50</xdr:row>
      <xdr:rowOff>163116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5966A1-E053-52B2-823B-12E424401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1087819</xdr:colOff>
      <xdr:row>14</xdr:row>
      <xdr:rowOff>104479</xdr:rowOff>
    </xdr:from>
    <xdr:to>
      <xdr:col>7</xdr:col>
      <xdr:colOff>79860</xdr:colOff>
      <xdr:row>18</xdr:row>
      <xdr:rowOff>75037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009568CD-3006-9CE4-4577-255FDB49F72F}"/>
                </a:ext>
              </a:extLst>
            </xdr14:cNvPr>
            <xdr14:cNvContentPartPr/>
          </xdr14:nvContentPartPr>
          <xdr14:nvPr macro=""/>
          <xdr14:xfrm>
            <a:off x="8242560" y="2925344"/>
            <a:ext cx="1171800" cy="77652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009568CD-3006-9CE4-4577-255FDB49F72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236440" y="2919224"/>
              <a:ext cx="1184040" cy="78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1185739</xdr:colOff>
      <xdr:row>20</xdr:row>
      <xdr:rowOff>84256</xdr:rowOff>
    </xdr:from>
    <xdr:to>
      <xdr:col>7</xdr:col>
      <xdr:colOff>56100</xdr:colOff>
      <xdr:row>22</xdr:row>
      <xdr:rowOff>129476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A3FFEA3F-ACED-8A32-26EE-39DBA35BB6A2}"/>
                </a:ext>
              </a:extLst>
            </xdr14:cNvPr>
            <xdr14:cNvContentPartPr/>
          </xdr14:nvContentPartPr>
          <xdr14:nvPr macro=""/>
          <xdr14:xfrm>
            <a:off x="8340480" y="4114064"/>
            <a:ext cx="1050120" cy="448200"/>
          </xdr14:xfrm>
        </xdr:contentPart>
      </mc:Choice>
      <mc:Fallback xmlns="">
        <xdr:pic>
          <xdr:nvPicPr>
            <xdr:cNvPr id="3" name="Tinta 2">
              <a:extLst>
                <a:ext uri="{FF2B5EF4-FFF2-40B4-BE49-F238E27FC236}">
                  <a16:creationId xmlns:a16="http://schemas.microsoft.com/office/drawing/2014/main" id="{A3FFEA3F-ACED-8A32-26EE-39DBA35BB6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334360" y="4107944"/>
              <a:ext cx="1062360" cy="46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1205179</xdr:colOff>
      <xdr:row>14</xdr:row>
      <xdr:rowOff>131119</xdr:rowOff>
    </xdr:from>
    <xdr:to>
      <xdr:col>6</xdr:col>
      <xdr:colOff>1672819</xdr:colOff>
      <xdr:row>17</xdr:row>
      <xdr:rowOff>50807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1623FAF5-253D-2CCE-0C41-AD5DB40C0BB1}"/>
                </a:ext>
              </a:extLst>
            </xdr14:cNvPr>
            <xdr14:cNvContentPartPr/>
          </xdr14:nvContentPartPr>
          <xdr14:nvPr macro=""/>
          <xdr14:xfrm>
            <a:off x="8359920" y="2951984"/>
            <a:ext cx="467640" cy="52416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1623FAF5-253D-2CCE-0C41-AD5DB40C0BB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305920" y="2844344"/>
              <a:ext cx="575280" cy="73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1658779</xdr:colOff>
      <xdr:row>20</xdr:row>
      <xdr:rowOff>129256</xdr:rowOff>
    </xdr:from>
    <xdr:to>
      <xdr:col>6</xdr:col>
      <xdr:colOff>1979179</xdr:colOff>
      <xdr:row>22</xdr:row>
      <xdr:rowOff>70076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2CA0618D-CFB2-3713-40BB-386395C49796}"/>
                </a:ext>
              </a:extLst>
            </xdr14:cNvPr>
            <xdr14:cNvContentPartPr/>
          </xdr14:nvContentPartPr>
          <xdr14:nvPr macro=""/>
          <xdr14:xfrm>
            <a:off x="8813520" y="4159064"/>
            <a:ext cx="320400" cy="34380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2CA0618D-CFB2-3713-40BB-386395C4979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759880" y="4051064"/>
              <a:ext cx="428040" cy="55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1289419</xdr:colOff>
      <xdr:row>16</xdr:row>
      <xdr:rowOff>87778</xdr:rowOff>
    </xdr:from>
    <xdr:to>
      <xdr:col>6</xdr:col>
      <xdr:colOff>1608739</xdr:colOff>
      <xdr:row>17</xdr:row>
      <xdr:rowOff>169607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6927B9BA-0FDE-54BB-2A0B-ADAF0EE755D3}"/>
                </a:ext>
              </a:extLst>
            </xdr14:cNvPr>
            <xdr14:cNvContentPartPr/>
          </xdr14:nvContentPartPr>
          <xdr14:nvPr macro=""/>
          <xdr14:xfrm>
            <a:off x="8444160" y="3311624"/>
            <a:ext cx="319320" cy="283320"/>
          </xdr14:xfrm>
        </xdr:contentPart>
      </mc:Choice>
      <mc:Fallback xmlns="">
        <xdr:pic>
          <xdr:nvPicPr>
            <xdr:cNvPr id="10" name="Tinta 9">
              <a:extLst>
                <a:ext uri="{FF2B5EF4-FFF2-40B4-BE49-F238E27FC236}">
                  <a16:creationId xmlns:a16="http://schemas.microsoft.com/office/drawing/2014/main" id="{6927B9BA-0FDE-54BB-2A0B-ADAF0EE755D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390160" y="3203984"/>
              <a:ext cx="426960" cy="49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1421179</xdr:colOff>
      <xdr:row>19</xdr:row>
      <xdr:rowOff>175586</xdr:rowOff>
    </xdr:from>
    <xdr:to>
      <xdr:col>6</xdr:col>
      <xdr:colOff>1673179</xdr:colOff>
      <xdr:row>22</xdr:row>
      <xdr:rowOff>92396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0DE094B5-AF8D-4CD2-4882-0695C9147DAD}"/>
                </a:ext>
              </a:extLst>
            </xdr14:cNvPr>
            <xdr14:cNvContentPartPr/>
          </xdr14:nvContentPartPr>
          <xdr14:nvPr macro=""/>
          <xdr14:xfrm>
            <a:off x="8575920" y="4003904"/>
            <a:ext cx="252000" cy="521280"/>
          </xdr14:xfrm>
        </xdr:contentPart>
      </mc:Choice>
      <mc:Fallback xmlns="">
        <xdr:pic>
          <xdr:nvPicPr>
            <xdr:cNvPr id="13" name="Tinta 12">
              <a:extLst>
                <a:ext uri="{FF2B5EF4-FFF2-40B4-BE49-F238E27FC236}">
                  <a16:creationId xmlns:a16="http://schemas.microsoft.com/office/drawing/2014/main" id="{0DE094B5-AF8D-4CD2-4882-0695C9147DA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522280" y="3896264"/>
              <a:ext cx="359640" cy="73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1505779</xdr:colOff>
      <xdr:row>16</xdr:row>
      <xdr:rowOff>76618</xdr:rowOff>
    </xdr:from>
    <xdr:to>
      <xdr:col>6</xdr:col>
      <xdr:colOff>1582819</xdr:colOff>
      <xdr:row>16</xdr:row>
      <xdr:rowOff>166618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4" name="Tinta 13">
              <a:extLst>
                <a:ext uri="{FF2B5EF4-FFF2-40B4-BE49-F238E27FC236}">
                  <a16:creationId xmlns:a16="http://schemas.microsoft.com/office/drawing/2014/main" id="{E3629178-EFC0-7A51-94ED-F5E3CE0E9E5D}"/>
                </a:ext>
              </a:extLst>
            </xdr14:cNvPr>
            <xdr14:cNvContentPartPr/>
          </xdr14:nvContentPartPr>
          <xdr14:nvPr macro=""/>
          <xdr14:xfrm>
            <a:off x="8660520" y="3300464"/>
            <a:ext cx="77040" cy="90000"/>
          </xdr14:xfrm>
        </xdr:contentPart>
      </mc:Choice>
      <mc:Fallback xmlns="">
        <xdr:pic>
          <xdr:nvPicPr>
            <xdr:cNvPr id="14" name="Tinta 13">
              <a:extLst>
                <a:ext uri="{FF2B5EF4-FFF2-40B4-BE49-F238E27FC236}">
                  <a16:creationId xmlns:a16="http://schemas.microsoft.com/office/drawing/2014/main" id="{E3629178-EFC0-7A51-94ED-F5E3CE0E9E5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606880" y="3192824"/>
              <a:ext cx="184680" cy="3056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34804</xdr:colOff>
      <xdr:row>51</xdr:row>
      <xdr:rowOff>185371</xdr:rowOff>
    </xdr:from>
    <xdr:to>
      <xdr:col>5</xdr:col>
      <xdr:colOff>976313</xdr:colOff>
      <xdr:row>65</xdr:row>
      <xdr:rowOff>107706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A669137-6A73-F313-902A-BD64EA361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</xdr:col>
      <xdr:colOff>1043825</xdr:colOff>
      <xdr:row>59</xdr:row>
      <xdr:rowOff>76555</xdr:rowOff>
    </xdr:from>
    <xdr:to>
      <xdr:col>2</xdr:col>
      <xdr:colOff>1077305</xdr:colOff>
      <xdr:row>66</xdr:row>
      <xdr:rowOff>283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7" name="Tinta 16">
              <a:extLst>
                <a:ext uri="{FF2B5EF4-FFF2-40B4-BE49-F238E27FC236}">
                  <a16:creationId xmlns:a16="http://schemas.microsoft.com/office/drawing/2014/main" id="{28025704-82A2-50E2-64CE-A87DF50B71B8}"/>
                </a:ext>
              </a:extLst>
            </xdr14:cNvPr>
            <xdr14:cNvContentPartPr/>
          </xdr14:nvContentPartPr>
          <xdr14:nvPr macro=""/>
          <xdr14:xfrm>
            <a:off x="3007440" y="11964488"/>
            <a:ext cx="33480" cy="1334160"/>
          </xdr14:xfrm>
        </xdr:contentPart>
      </mc:Choice>
      <mc:Fallback xmlns="">
        <xdr:pic>
          <xdr:nvPicPr>
            <xdr:cNvPr id="17" name="Tinta 16">
              <a:extLst>
                <a:ext uri="{FF2B5EF4-FFF2-40B4-BE49-F238E27FC236}">
                  <a16:creationId xmlns:a16="http://schemas.microsoft.com/office/drawing/2014/main" id="{28025704-82A2-50E2-64CE-A87DF50B71B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01320" y="11958368"/>
              <a:ext cx="45720" cy="134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944762</xdr:colOff>
      <xdr:row>63</xdr:row>
      <xdr:rowOff>159073</xdr:rowOff>
    </xdr:from>
    <xdr:to>
      <xdr:col>2</xdr:col>
      <xdr:colOff>356945</xdr:colOff>
      <xdr:row>65</xdr:row>
      <xdr:rowOff>192413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Tinta 17">
              <a:extLst>
                <a:ext uri="{FF2B5EF4-FFF2-40B4-BE49-F238E27FC236}">
                  <a16:creationId xmlns:a16="http://schemas.microsoft.com/office/drawing/2014/main" id="{3085AC5F-5782-8217-ECC6-43AFE256656C}"/>
                </a:ext>
              </a:extLst>
            </xdr14:cNvPr>
            <xdr14:cNvContentPartPr/>
          </xdr14:nvContentPartPr>
          <xdr14:nvPr macro=""/>
          <xdr14:xfrm>
            <a:off x="1831320" y="12852968"/>
            <a:ext cx="489240" cy="436320"/>
          </xdr14:xfrm>
        </xdr:contentPart>
      </mc:Choice>
      <mc:Fallback xmlns="">
        <xdr:pic>
          <xdr:nvPicPr>
            <xdr:cNvPr id="18" name="Tinta 17">
              <a:extLst>
                <a:ext uri="{FF2B5EF4-FFF2-40B4-BE49-F238E27FC236}">
                  <a16:creationId xmlns:a16="http://schemas.microsoft.com/office/drawing/2014/main" id="{3085AC5F-5782-8217-ECC6-43AFE256656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825200" y="12846848"/>
              <a:ext cx="501480" cy="44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445865</xdr:colOff>
      <xdr:row>64</xdr:row>
      <xdr:rowOff>47223</xdr:rowOff>
    </xdr:from>
    <xdr:to>
      <xdr:col>2</xdr:col>
      <xdr:colOff>1060385</xdr:colOff>
      <xdr:row>65</xdr:row>
      <xdr:rowOff>149573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DB4FF013-BFE7-C179-F6AB-F51E2C596CD8}"/>
                </a:ext>
              </a:extLst>
            </xdr14:cNvPr>
            <xdr14:cNvContentPartPr/>
          </xdr14:nvContentPartPr>
          <xdr14:nvPr macro=""/>
          <xdr14:xfrm>
            <a:off x="2409480" y="12942608"/>
            <a:ext cx="614520" cy="303840"/>
          </xdr14:xfrm>
        </xdr:contentPart>
      </mc:Choice>
      <mc:Fallback xmlns="">
        <xdr:pic>
          <xdr:nvPicPr>
            <xdr:cNvPr id="19" name="Tinta 18">
              <a:extLst>
                <a:ext uri="{FF2B5EF4-FFF2-40B4-BE49-F238E27FC236}">
                  <a16:creationId xmlns:a16="http://schemas.microsoft.com/office/drawing/2014/main" id="{DB4FF013-BFE7-C179-F6AB-F51E2C596CD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403360" y="12936488"/>
              <a:ext cx="626760" cy="31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193316</xdr:colOff>
      <xdr:row>52</xdr:row>
      <xdr:rowOff>131948</xdr:rowOff>
    </xdr:from>
    <xdr:to>
      <xdr:col>4</xdr:col>
      <xdr:colOff>439916</xdr:colOff>
      <xdr:row>65</xdr:row>
      <xdr:rowOff>165773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EDCB63B7-CCCC-7C47-8388-FD0116797B4D}"/>
                </a:ext>
              </a:extLst>
            </xdr14:cNvPr>
            <xdr14:cNvContentPartPr/>
          </xdr14:nvContentPartPr>
          <xdr14:nvPr macro=""/>
          <xdr14:xfrm>
            <a:off x="4578480" y="10609448"/>
            <a:ext cx="246600" cy="2653200"/>
          </xdr14:xfrm>
        </xdr:contentPart>
      </mc:Choice>
      <mc:Fallback xmlns="">
        <xdr:pic>
          <xdr:nvPicPr>
            <xdr:cNvPr id="20" name="Tinta 19">
              <a:extLst>
                <a:ext uri="{FF2B5EF4-FFF2-40B4-BE49-F238E27FC236}">
                  <a16:creationId xmlns:a16="http://schemas.microsoft.com/office/drawing/2014/main" id="{EDCB63B7-CCCC-7C47-8388-FD0116797B4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572360" y="10603285"/>
              <a:ext cx="258840" cy="26655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61914</xdr:colOff>
      <xdr:row>54</xdr:row>
      <xdr:rowOff>121727</xdr:rowOff>
    </xdr:from>
    <xdr:to>
      <xdr:col>4</xdr:col>
      <xdr:colOff>186476</xdr:colOff>
      <xdr:row>56</xdr:row>
      <xdr:rowOff>7466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1" name="Tinta 20">
              <a:extLst>
                <a:ext uri="{FF2B5EF4-FFF2-40B4-BE49-F238E27FC236}">
                  <a16:creationId xmlns:a16="http://schemas.microsoft.com/office/drawing/2014/main" id="{1801EAEA-2233-CA0D-7AFE-7EA44DC1E2BF}"/>
                </a:ext>
              </a:extLst>
            </xdr14:cNvPr>
            <xdr14:cNvContentPartPr/>
          </xdr14:nvContentPartPr>
          <xdr14:nvPr macro=""/>
          <xdr14:xfrm>
            <a:off x="3179520" y="11002208"/>
            <a:ext cx="1392120" cy="288720"/>
          </xdr14:xfrm>
        </xdr:contentPart>
      </mc:Choice>
      <mc:Fallback xmlns="">
        <xdr:pic>
          <xdr:nvPicPr>
            <xdr:cNvPr id="21" name="Tinta 20">
              <a:extLst>
                <a:ext uri="{FF2B5EF4-FFF2-40B4-BE49-F238E27FC236}">
                  <a16:creationId xmlns:a16="http://schemas.microsoft.com/office/drawing/2014/main" id="{1801EAEA-2233-CA0D-7AFE-7EA44DC1E2B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173400" y="10996088"/>
              <a:ext cx="140436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651956</xdr:colOff>
      <xdr:row>60</xdr:row>
      <xdr:rowOff>28425</xdr:rowOff>
    </xdr:from>
    <xdr:to>
      <xdr:col>5</xdr:col>
      <xdr:colOff>1138974</xdr:colOff>
      <xdr:row>61</xdr:row>
      <xdr:rowOff>5134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22" name="Tinta 21">
              <a:extLst>
                <a:ext uri="{FF2B5EF4-FFF2-40B4-BE49-F238E27FC236}">
                  <a16:creationId xmlns:a16="http://schemas.microsoft.com/office/drawing/2014/main" id="{F14471B6-DD86-896F-6AEB-7B28018FB1A6}"/>
                </a:ext>
              </a:extLst>
            </xdr14:cNvPr>
            <xdr14:cNvContentPartPr/>
          </xdr14:nvContentPartPr>
          <xdr14:nvPr macro=""/>
          <xdr14:xfrm>
            <a:off x="5037120" y="12117848"/>
            <a:ext cx="1695960" cy="178200"/>
          </xdr14:xfrm>
        </xdr:contentPart>
      </mc:Choice>
      <mc:Fallback xmlns="">
        <xdr:pic>
          <xdr:nvPicPr>
            <xdr:cNvPr id="22" name="Tinta 21">
              <a:extLst>
                <a:ext uri="{FF2B5EF4-FFF2-40B4-BE49-F238E27FC236}">
                  <a16:creationId xmlns:a16="http://schemas.microsoft.com/office/drawing/2014/main" id="{F14471B6-DD86-896F-6AEB-7B28018FB1A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028120" y="12063848"/>
              <a:ext cx="1713600" cy="285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519113</xdr:colOff>
      <xdr:row>28</xdr:row>
      <xdr:rowOff>104775</xdr:rowOff>
    </xdr:from>
    <xdr:to>
      <xdr:col>5</xdr:col>
      <xdr:colOff>19051</xdr:colOff>
      <xdr:row>36</xdr:row>
      <xdr:rowOff>151775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9BEE57-BB0E-6E96-63CA-8F18913CE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0063" y="5724525"/>
          <a:ext cx="2443163" cy="16472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571501</xdr:colOff>
      <xdr:row>56</xdr:row>
      <xdr:rowOff>71438</xdr:rowOff>
    </xdr:from>
    <xdr:to>
      <xdr:col>5</xdr:col>
      <xdr:colOff>140240</xdr:colOff>
      <xdr:row>65</xdr:row>
      <xdr:rowOff>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92145B3-6862-DA8B-8D25-06281C981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62451" y="11310938"/>
          <a:ext cx="2511964" cy="1728788"/>
        </a:xfrm>
        <a:prstGeom prst="rect">
          <a:avLst/>
        </a:prstGeom>
      </xdr:spPr>
    </xdr:pic>
    <xdr:clientData/>
  </xdr:twoCellAnchor>
  <xdr:twoCellAnchor editAs="oneCell">
    <xdr:from>
      <xdr:col>2</xdr:col>
      <xdr:colOff>700088</xdr:colOff>
      <xdr:row>85</xdr:row>
      <xdr:rowOff>109539</xdr:rowOff>
    </xdr:from>
    <xdr:to>
      <xdr:col>5</xdr:col>
      <xdr:colOff>45196</xdr:colOff>
      <xdr:row>93</xdr:row>
      <xdr:rowOff>52389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4A617EC-BCD4-1BA2-A43E-1D746577A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91038" y="17168814"/>
          <a:ext cx="2288333" cy="1543050"/>
        </a:xfrm>
        <a:prstGeom prst="rect">
          <a:avLst/>
        </a:prstGeom>
      </xdr:spPr>
    </xdr:pic>
    <xdr:clientData/>
  </xdr:twoCellAnchor>
  <xdr:twoCellAnchor editAs="oneCell">
    <xdr:from>
      <xdr:col>2</xdr:col>
      <xdr:colOff>519114</xdr:colOff>
      <xdr:row>112</xdr:row>
      <xdr:rowOff>104775</xdr:rowOff>
    </xdr:from>
    <xdr:to>
      <xdr:col>5</xdr:col>
      <xdr:colOff>88993</xdr:colOff>
      <xdr:row>120</xdr:row>
      <xdr:rowOff>176213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2910CC4-F3D9-C7A7-605F-5752E65C0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10064" y="22583775"/>
          <a:ext cx="2513104" cy="1671638"/>
        </a:xfrm>
        <a:prstGeom prst="rect">
          <a:avLst/>
        </a:prstGeom>
      </xdr:spPr>
    </xdr:pic>
    <xdr:clientData/>
  </xdr:twoCellAnchor>
  <xdr:twoCellAnchor editAs="oneCell">
    <xdr:from>
      <xdr:col>2</xdr:col>
      <xdr:colOff>614362</xdr:colOff>
      <xdr:row>140</xdr:row>
      <xdr:rowOff>76200</xdr:rowOff>
    </xdr:from>
    <xdr:to>
      <xdr:col>5</xdr:col>
      <xdr:colOff>71437</xdr:colOff>
      <xdr:row>148</xdr:row>
      <xdr:rowOff>133882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FD6C437-4E25-0169-0538-C9CBC44AB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05312" y="28174950"/>
          <a:ext cx="2400300" cy="1657882"/>
        </a:xfrm>
        <a:prstGeom prst="rect">
          <a:avLst/>
        </a:prstGeom>
      </xdr:spPr>
    </xdr:pic>
    <xdr:clientData/>
  </xdr:twoCellAnchor>
  <xdr:twoCellAnchor editAs="oneCell">
    <xdr:from>
      <xdr:col>2</xdr:col>
      <xdr:colOff>642938</xdr:colOff>
      <xdr:row>167</xdr:row>
      <xdr:rowOff>104776</xdr:rowOff>
    </xdr:from>
    <xdr:to>
      <xdr:col>5</xdr:col>
      <xdr:colOff>326422</xdr:colOff>
      <xdr:row>175</xdr:row>
      <xdr:rowOff>195264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7E15395-50C3-8099-6984-03B9A503C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33888" y="33623251"/>
          <a:ext cx="2626709" cy="16906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161925</xdr:colOff>
      <xdr:row>0</xdr:row>
      <xdr:rowOff>152048</xdr:rowOff>
    </xdr:from>
    <xdr:to>
      <xdr:col>29</xdr:col>
      <xdr:colOff>292341</xdr:colOff>
      <xdr:row>17</xdr:row>
      <xdr:rowOff>186272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CDF8BA-DBAD-4227-462B-3BB9A306F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8750" y="152048"/>
          <a:ext cx="11789016" cy="34441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504600</xdr:colOff>
      <xdr:row>25</xdr:row>
      <xdr:rowOff>28275</xdr:rowOff>
    </xdr:from>
    <xdr:to>
      <xdr:col>12</xdr:col>
      <xdr:colOff>618675</xdr:colOff>
      <xdr:row>29</xdr:row>
      <xdr:rowOff>198375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E90F7785-136A-51C0-EB47-EBE9C19134DE}"/>
                </a:ext>
              </a:extLst>
            </xdr14:cNvPr>
            <xdr14:cNvContentPartPr/>
          </xdr14:nvContentPartPr>
          <xdr14:nvPr macro=""/>
          <xdr14:xfrm>
            <a:off x="8200800" y="4924125"/>
            <a:ext cx="4314600" cy="970200"/>
          </xdr14:xfrm>
        </xdr:contentPart>
      </mc:Choice>
      <mc:Fallback xmlns="">
        <xdr:pic>
          <xdr:nvPicPr>
            <xdr:cNvPr id="19" name="Tinta 18">
              <a:extLst>
                <a:ext uri="{FF2B5EF4-FFF2-40B4-BE49-F238E27FC236}">
                  <a16:creationId xmlns:a16="http://schemas.microsoft.com/office/drawing/2014/main" id="{E90F7785-136A-51C0-EB47-EBE9C19134D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194680" y="4918005"/>
              <a:ext cx="4326840" cy="982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0-18T23:44:07.144"/>
    </inkml:context>
    <inkml:brush xml:id="br0">
      <inkml:brushProperty name="width" value="0.05" units="cm"/>
      <inkml:brushProperty name="height" value="0.05" units="cm"/>
      <inkml:brushProperty name="color" value="#0432FF"/>
    </inkml:brush>
  </inkml:definitions>
  <inkml:trace contextRef="#ctx0" brushRef="#br0">0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13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190 93 24575,'-5'0'0,"0"1"0,0 0 0,0 0 0,0 1 0,1-1 0,-1 1 0,0 0 0,1 0 0,-1 1 0,1-1 0,0 1 0,-1 0 0,1 0 0,1 0 0,-1 1 0,0-1 0,1 1 0,-3 4 0,-6 8 0,1-1 0,1 1 0,-11 24 0,15-27 0,-6 10 0,-10 30 0,19-47 0,1 1 0,1 0 0,-1 0 0,1 0 0,0 0 0,0 0 0,1 0 0,0 0 0,1 10 0,0-14 0,0-1 0,0 1 0,0-1 0,0 1 0,0-1 0,1 0 0,-1 1 0,0-1 0,1 0 0,0 0 0,0 0 0,-1 0 0,1 0 0,0-1 0,1 1 0,-1-1 0,0 1 0,0-1 0,1 0 0,-1 1 0,1-1 0,-1 0 0,1-1 0,-1 1 0,1 0 0,2-1 0,9 3 0,0-1 0,0-1 0,23-1 0,-27 0 0,10 0 0,-11 1 0,0-1 0,0 0 0,0-1 0,8-2 0,-14 3 0,-1-1 0,0 1 0,0-1 0,0 0 0,0 0 0,0 0 0,0 0 0,0 0 0,0 0 0,0-1 0,0 1 0,-1-1 0,1 1 0,0-1 0,-1 0 0,0 1 0,1-1 0,-1 0 0,0 0 0,2-3 0,2-8 0,-1 0 0,0-1 0,-1 1 0,-1-1 0,2-20 0,-2-72 0,-2 94 0,0 10 0,0 0 0,0 0 0,-1 0 0,1 0 0,0 0 0,-1 0 0,1 0 0,-1 0 0,1 0 0,-1 0 0,0 0 0,0 0 0,0 0 0,0 1 0,0-1 0,-2-2 0,-1 2 0,1-1 0,-1 1 0,1-1 0,-1 1 0,0 0 0,-7-3 0,7 3 0,0 1 0,1-1 0,-1-1 0,1 1 0,0 0 0,0-1 0,0 0 0,0 0 0,0 0 0,0 0 0,1 0 0,-1 0 0,-3-8 0,2 2 0,0 0 0,1-1 0,0 0 0,-3-13 0,6 22 0,0 0 0,-1 0 0,1 0 0,0 0 0,0 0 0,0-1 0,0 1 0,0 0 0,0 0 0,0 0 0,1 0 0,-1 0 0,0 0 0,1 0 0,-1 0 0,0 0 0,1 1 0,-1-1 0,1 0 0,1-2 0,-1 2 0,0 0 0,1 0 0,-1 0 0,1 0 0,-1 0 0,1 0 0,-1 1 0,1-1 0,0 0 0,-1 1 0,4-1 0,4-1 0,1 1 0,-1 1 0,18 0 0,-15 0 0,33 2-4,-25-1-450,0 0 0,28-3 1,-35-1-6373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16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 24575,'20'13'0,"0"-6"0,-15-6 0,0 1 0,0 0 0,9 4 0,-13-5 0,1 0 0,-1 0 0,0 0 0,1 0 0,-1 0 0,0 1 0,0-1 0,0 0 0,0 0 0,0 1 0,0-1 0,0 1 0,-1-1 0,1 1 0,0-1 0,0 4 0,0-1 0,0 0 0,0 1 0,-1-1 0,1 0 0,-1 1 0,0-1 0,0 1 0,-1-1 0,1 0 0,-1 1 0,-3 7 0,3-9 0,0 0 0,-1 0 0,1-1 0,-1 1 0,0 0 0,0-1 0,0 0 0,0 1 0,-1-1 0,1 0 0,0 0 0,-1 0 0,1-1 0,-1 1 0,0-1 0,0 1 0,-4 1 0,-26 7 0,25-8 0,0 0 0,0 1 0,1 0 0,-1 0 0,1 1 0,-8 4 0,11-5 0,-1 0 0,0-1 0,0 0 0,0 0 0,0 0 0,-1 0 0,1-1 0,-7 1 0,-20 6 0,32-8 0,0 0 0,-1 0 0,1 0 0,0 0 0,-1 0 0,1 0 0,0 0 0,0 0 0,-1 1 0,1-1 0,0 0 0,-1 0 0,1 0 0,0 0 0,0 0 0,-1 1 0,1-1 0,0 0 0,0 0 0,0 0 0,-1 1 0,1-1 0,0 0 0,0 0 0,0 1 0,-1-1 0,1 0 0,0 1 0,0-1 0,0 0 0,0 0 0,0 1 0,9 3 0,17-2 0,16 2 40,0 2-1,65 18 0,-66-14-533,-1-1-1,74 5 1,-104-14-6332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18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24575,'2'0'0,"4"0"0,4 0 0,6 0 0,7 0 0,3 0 0,7 0 0,1 0 0,1 0 0,-2 0 0,-3 0 0,-5 0 0,-4 0 0,-5 0 0,-2 0 0,-4 0-8191</inkml:trace>
  <inkml:trace contextRef="#ctx0" brushRef="#br0" timeOffset="700.82">33 122 24575,'-2'0'0,"3"0"0,4 0 0,4 0 0,7 0 0,7 0 0,6 0 0,2 0 0,1 2 0,3 0 0,2 0 0,1 0 0,-2 0 0,-3-2 0,-6 1 0,-8-1-8191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45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 24575,'0'-2'0,"1"1"0,-1 0 0,0 0 0,1-1 0,-1 1 0,1 0 0,0 0 0,-1 0 0,1 0 0,0-1 0,0 1 0,-1 0 0,1 0 0,0 1 0,0-1 0,0 0 0,0 0 0,0 0 0,1 1 0,-1-1 0,0 0 0,0 1 0,0-1 0,1 1 0,-1-1 0,1 1 0,6-2 0,-1 0 0,0 0 0,9 0 0,-14 1 0,-1 1 0,1 0 0,-1 0 0,1 0 0,-1 0 0,1 0 0,-1 0 0,0 0 0,1 0 0,-1 1 0,1-1 0,-1 0 0,0 1 0,1-1 0,-1 1 0,0 0 0,1-1 0,-1 1 0,0 0 0,0 0 0,0 0 0,2 1 0,-2 0 0,0 0 0,0 0 0,0 1 0,0-1 0,0 0 0,-1 1 0,1-1 0,-1 0 0,1 1 0,-1-1 0,0 1 0,0 4 0,-2 20 0,1-21 0,0 0 0,1 0 0,-1 1 0,1-1 0,1 0 0,-1 1 0,1-1 0,0 0 0,1 0 0,1 7 0,-2-12 0,0 0 0,0 1 0,0-1 0,0 0 0,0 0 0,1 0 0,-1 0 0,0 0 0,0 0 0,1 0 0,-1 0 0,1 0 0,-1-1 0,1 1 0,-1-1 0,1 1 0,2 0 0,30 2 0,-27-3 0,121 0-1365,-106-1-5461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40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1 588 24575,'0'0'-8191</inkml:trace>
  <inkml:trace contextRef="#ctx0" brushRef="#br0" timeOffset="841.49">243 390 24575,'2'0'0,"2"-2"0,3-1 0,5-3 0,5-1 0,3 1 0,2 1 0,-1 2 0,-2 1 0,-2 1 0,-1 1 0,-1 0 0,-3 0 0,-2 1 0,0-1 0,0 0 0,-2 0-8191</inkml:trace>
  <inkml:trace contextRef="#ctx0" brushRef="#br0" timeOffset="2240.91">321 202 24575,'-1'0'0,"1"1"0,-1-1 0,0 0 0,1 0 0,-1 1 0,1-1 0,-1 1 0,1-1 0,0 0 0,-1 1 0,1-1 0,-1 1 0,1-1 0,0 1 0,-1-1 0,1 1 0,0-1 0,-1 1 0,1-1 0,0 1 0,0-1 0,0 1 0,-1 0 0,1-1 0,0 1 0,0-1 0,0 2 0,-1 17 0,2-11 0,1 1 0,1-1 0,2 9 0,6 22 0,0 27 0,-11-63 0,1-1 0,0 1 0,0-1 0,0 1 0,0-1 0,1 0 0,1 4 0,-1-4 0,0 1 0,-1 0 0,1-1 0,-1 1 0,2 6 0,5 24-1365,-6-25-5461</inkml:trace>
  <inkml:trace contextRef="#ctx0" brushRef="#br0" timeOffset="4379.62">684 291 24575,'0'123'0,"0"-121"0,1 0 0,-1 1 0,0-1 0,1 0 0,-1 0 0,1 0 0,0 0 0,0 0 0,0 0 0,0 0 0,0 0 0,0 0 0,0-1 0,0 1 0,4 3 0,-1-2 0,1 1 0,0-1 0,0 1 0,7 2 0,6 4 0,-18-9 0,1 0 0,0-1 0,0 1 0,0-1 0,-1 1 0,1-1 0,0 0 0,0 1 0,0-1 0,0 0 0,0 1 0,0-1 0,0 0 0,0 0 0,0 0 0,0 0 0,0 0 0,0 0 0,-1 0 0,1 0 0,0-1 0,0 1 0,1-1 0,-1 1 0,0-1 0,0 0 0,0 0 0,0 0 0,0 1 0,-1-1 0,1 0 0,0 0 0,-1 0 0,1 0 0,-1-1 0,1 1 0,-1 0 0,0 0 0,1 0 0,-1-2 0,2-6 0,-2 0 0,1-1 0,-2-16 0,1 17 0,1-22 0,-1 19 0,0 0 0,0 0 0,-4-20 0,4 31 0,0-1 0,-1 1 0,1-1 0,-1 1 0,0-1 0,1 1 0,-1 0 0,0-1 0,0 1 0,0 0 0,0 0 0,0 0 0,0-1 0,0 1 0,0 0 0,0 0 0,-3-1 0,1 0 0,-1 1 0,0-1 0,0 1 0,-8-2 0,8 2 0,0 0 0,0-1 0,0 1 0,0-1 0,-6-2 0,8 3 0,1 0 0,-1 0 0,0-1 0,1 1 0,-1 0 0,1 0 0,0-1 0,-1 1 0,1-1 0,0 0 0,0 1 0,0-1 0,0 0 0,0 1 0,0-1 0,0 0 0,1 0 0,-1 0 0,1 0 0,-1 0 0,1 0 0,0 0 0,0 0 0,0 0 0,0 0 0,0 0 0,0 0 0,0 0 0,1 0 0,-1 1 0,1-1 0,0 0 0,-1 0 0,1 0 0,0 0 0,0 1 0,0-1 0,0 0 0,0 1 0,0-1 0,1 1 0,-1-1 0,1 1 0,-1 0 0,3-2 0,15-10 0,0 2 0,25-11 0,4-3 0,-5 0-682,66-52-1,-100 70-6143</inkml:trace>
  <inkml:trace contextRef="#ctx0" brushRef="#br0" timeOffset="7091.11">838 456 24575,'23'0'0,"-1"1"0,1 1 0,30 6 0,-49-7 0,-1 0 0,1 0 0,-1 1 0,0 0 0,1-1 0,-1 1 0,0 0 0,0 1 0,-1-1 0,1 0 0,0 1 0,-1 0 0,1 0 0,-1-1 0,0 1 0,0 0 0,0 1 0,0-1 0,-1 0 0,1 1 0,0 3 0,1 1 0,-1 0 0,0 0 0,0 1 0,-1-1 0,0 1 0,-1-1 0,0 18 0,1-39 0,1 1 0,0 0 0,2 0 0,5-18 0,-7 26 0,-1 0 0,1 0 0,0 0 0,0 0 0,0 1 0,1-1 0,-1 1 0,1-1 0,0 1 0,0 0 0,0 0 0,0 0 0,1 1 0,-1-1 0,1 1 0,-1-1 0,1 1 0,5-2 0,-8 4 0,1 0 0,-1 0 0,0 0 0,0 0 0,1 0 0,-1 0 0,0 0 0,1 0 0,-1 0 0,0 1 0,0-1 0,1 0 0,-1 1 0,0-1 0,0 1 0,0 0 0,0-1 0,0 1 0,0 0 0,0-1 0,0 1 0,0 0 0,0 0 0,0 0 0,0 0 0,-1 0 0,1 0 0,0 0 0,0 2 0,3 4 0,0 0 0,-1 0 0,4 11 0,-6-15 0,6 22 0,-1 0 0,-1 0 0,-1 0 0,0 35 0,-4-58-68,0 0 0,0 0-1,1 0 1,-1 0 0,0 0 0,1 0-1,-1 0 1,1 0 0,0-1 0,-1 1-1,1 0 1,0 0 0,0-1 0,0 1-1,0-1 1,1 1 0,-1-1 0,0 1-1,2 0 1,3 3-6758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24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363 103 24575,'11'0'0,"-6"0"0,-1-1 0,1 2 0,-1-1 0,1 0 0,7 3 0,-11-3 0,0 1 0,1-1 0,-1 1 0,0-1 0,0 1 0,0 0 0,0 0 0,0-1 0,0 1 0,0 0 0,0 0 0,0 0 0,0 0 0,0 0 0,-1 0 0,1 1 0,0-1 0,-1 0 0,1 0 0,-1 0 0,1 1 0,-1-1 0,0 0 0,1 2 0,0 3 0,0 0 0,-1 0 0,0 0 0,0 0 0,0 0 0,0 0 0,-3 11 0,-2-1 0,-8 23 0,8-26 0,4-12 0,1 0 0,0 0 0,-1 0 0,1 0 0,0 1 0,-1-1 0,1 0 0,0 0 0,0 0 0,0 1 0,0-1 0,0 0 0,0 0 0,0 1 0,1-1 0,-1 0 0,0 0 0,1 0 0,-1 0 0,1 1 0,-1-1 0,1 0 0,-1 0 0,1 0 0,0 0 0,0 0 0,-1 0 0,1 0 0,0-1 0,0 1 0,0 0 0,0 0 0,0-1 0,0 1 0,0 0 0,0-1 0,0 1 0,1-1 0,-1 0 0,0 1 0,0-1 0,2 1 0,5 0 0,1 1 0,-1-1 0,1-1 0,14 0 0,-21 0 0,65-1-1365,-53 1-5461</inkml:trace>
  <inkml:trace contextRef="#ctx0" brushRef="#br0" timeOffset="-1119.73">33 720 24575,'-2'19'0,"0"-1"0,-8 32 0,3-25 0,5-17 0,-1-1 0,1 1 0,1-1 0,-1 1 0,1 0 0,1-1 0,0 1 0,0 14 0,1-21 0,-1 1 0,1-1 0,0 0 0,-1 1 0,1-1 0,0 0 0,0 0 0,0 0 0,0 1 0,0-1 0,0 0 0,0 0 0,0 0 0,0-1 0,0 1 0,1 0 0,-1 0 0,0-1 0,1 1 0,-1 0 0,0-1 0,1 1 0,-1-1 0,2 0 0,5 2 0,0-1 0,-1 0 0,12-1 0,-12 0 0,35 1 0,-3-1 0,47 6 0,-83-6 0,0 1 0,-1-1 0,1 0 0,0 1 0,-1-1 0,1-1 0,0 1 0,-1 0 0,1-1 0,-1 1 0,1-1 0,3-1 0,-5 1 0,1 0 0,-1 0 0,0 0 0,0 0 0,0-1 0,0 1 0,0 0 0,0-1 0,0 1 0,0 0 0,0-1 0,-1 1 0,1-1 0,-1 1 0,1-1 0,-1 1 0,1-1 0,-1 0 0,0 1 0,0-1 0,0-2 0,0 1 0,0 0 0,0 0 0,0-1 0,-1 1 0,1 0 0,-1 0 0,0 0 0,0 0 0,0 0 0,0 0 0,-1 0 0,1 0 0,-1 0 0,0 0 0,-3-3 0,-3-4 0,-1 1 0,-17-14 0,5 4 0,7 6 0,10 10 0,0 0 0,0 0 0,1-1 0,0 1 0,-1-1 0,1 1 0,1-1 0,-1 0 0,0 0 0,1-1 0,0 1 0,0 0 0,0-1 0,1 0 0,-2-5 0,1-8 0,0 0 0,1 0 0,2-30 0,-1 46 0,1 0 0,-1 0 0,1 0 0,-1 1 0,1-1 0,0 0 0,0 0 0,0 1 0,0-1 0,0 0 0,0 1 0,0-1 0,0 1 0,0-1 0,1 1 0,-1 0 0,1 0 0,-1-1 0,1 1 0,0 0 0,-1 0 0,4-1 0,3-1 0,1-1 0,0 1 0,13-2 0,-13 3 0,49-12-1365,-43 8-5461</inkml:trace>
  <inkml:trace contextRef="#ctx0" brushRef="#br0" timeOffset="1164.92">430 819 24575,'0'4'0,"4"1"0,2 0 0,4-1 0,0-2 0,2 0 0,-1 3 0,-1 6 0,1 8 0,-1 8 0,-3 6 0,-2 1 0,-2 0 0,-1-3 0,-2-5 0,0-8-8191</inkml:trace>
  <inkml:trace contextRef="#ctx0" brushRef="#br0" timeOffset="2225.77">662 665 24575,'2'0'0,"2"0"0,2 0 0,3 0 0,3 0 0,3 0 0,1 0 0,4 0 0,1 0 0,4 0 0,-1 0 0,-3 0 0,-3 0 0,-2 0 0,-3 0 0,-3 0-8191</inkml:trace>
  <inkml:trace contextRef="#ctx0" brushRef="#br0" timeOffset="3643.63">761 433 24575,'0'17'0,"0"269"-1365,0-277-5461</inkml:trace>
  <inkml:trace contextRef="#ctx0" brushRef="#br0" timeOffset="3841.76">761 753 24575,'0'0'-8191</inkml:trace>
  <inkml:trace contextRef="#ctx0" brushRef="#br0" timeOffset="4019.65">761 786 24575,'0'2'0,"0"3"0,0 1 0,0 1-8191</inkml:trace>
  <inkml:trace contextRef="#ctx0" brushRef="#br0" timeOffset="6414.92">1202 621 24575,'2'36'0,"2"0"0,1 1 0,13 42 0,7 46 0,-25-119 0,1 0 0,0-1 0,0 1 0,0-1 0,1 0 0,3 8 0,-4-11 0,0-1 0,0 1 0,1 0 0,-1-1 0,1 1 0,-1-1 0,1 1 0,-1-1 0,1 0 0,0 1 0,0-1 0,-1 0 0,1 0 0,0 0 0,0-1 0,0 1 0,0 0 0,0-1 0,4 1 0,-1 0 0,0 0 0,0 0 0,1-1 0,-1 1 0,0-1 0,0-1 0,7 0 0,-11 1 0,1-1 0,-1 1 0,0-1 0,1 0 0,-1 1 0,1-1 0,-1 0 0,0 0 0,1 0 0,-1 0 0,0 0 0,0 0 0,0 0 0,0 0 0,0 0 0,0-1 0,0 1 0,0 0 0,-1-1 0,1 1 0,0-1 0,-1 1 0,1 0 0,-1-1 0,0 1 0,1-1 0,-1 0 0,0-1 0,2-22 0,-1-1 0,-3-24 0,0 0 0,2 45 0,0 1 0,-1 0 0,1 0 0,-1 0 0,0 0 0,0 0 0,0 0 0,0 0 0,-4-7 0,1 6 0,0-1 0,0 1 0,-1 0 0,1 0 0,-7-5 0,8 6 0,-1 1 0,2-1 0,-1 0 0,0 0 0,1 0 0,0 0 0,0 0 0,0-1 0,0 1 0,1-1 0,-1 1 0,0-10 0,-1-4 0,1-36 0,2 45 0,0 7 0,1 0 0,-1-1 0,0 1 0,1 0 0,0-1 0,-1 1 0,1 0 0,0 0 0,0 0 0,0-1 0,1 1 0,-1 0 0,0 1 0,1-1 0,-1 0 0,1 0 0,0 0 0,-1 1 0,4-3 0,4-2 0,-1 1 0,1 0 0,12-5 0,-8 4 0,12-6-1365,-4 3-5461</inkml:trace>
  <inkml:trace contextRef="#ctx0" brushRef="#br0" timeOffset="7579.73">1378 26 24575,'0'-1'0,"0"0"0,0 0 0,1 1 0,-1-1 0,0 0 0,1 0 0,-1 1 0,1-1 0,-1 1 0,1-1 0,0 0 0,-1 1 0,1-1 0,-1 1 0,1-1 0,0 1 0,-1-1 0,1 1 0,0 0 0,0-1 0,-1 1 0,1 0 0,1 0 0,19-6 0,-21 6 0,16-3 0,0 1 0,0 1 0,0 1 0,29 2 0,-44-2 0,0 0 0,0 1 0,0-1 0,0 0 0,0 0 0,0 1 0,0-1 0,0 1 0,0-1 0,0 1 0,0-1 0,-1 1 0,1 0 0,0-1 0,0 1 0,-1 0 0,1 0 0,0-1 0,-1 1 0,1 0 0,0 1 0,0 1 0,0-1 0,0 0 0,0 1 0,-1-1 0,1 1 0,-1-1 0,1 1 0,-1 4 0,0-2 0,0 0 0,-1-1 0,0 1 0,1 0 0,-1 0 0,-1 0 0,1 0 0,-5 8 0,0-5 0,4-5 0,0 0 0,0-1 0,1 1 0,-1 0 0,-2 5 0,4-8 0,0 1 0,0-1 0,0 1 0,0-1 0,0 1 0,0-1 0,0 1 0,0 0 0,0-1 0,0 1 0,0-1 0,0 1 0,0-1 0,0 1 0,0-1 0,0 1 0,1-1 0,-1 1 0,0-1 0,0 1 0,1-1 0,-1 0 0,0 1 0,1-1 0,-1 1 0,0-1 0,1 0 0,-1 1 0,1-1 0,-1 0 0,1 1 0,-1-1 0,1 0 0,-1 0 0,1 0 0,-1 1 0,1-1 0,-1 0 0,1 0 0,0 0 0,24 5 0,1 0 0,48 1 0,-13-2 0,62 11 0,-111-12-1365</inkml:trace>
  <inkml:trace contextRef="#ctx0" brushRef="#br0" timeOffset="9156.2">1565 875 24575,'0'0'0,"0"0"0,0 0 0,-1 0 0,1 0 0,0 0 0,0 0 0,0 0 0,0 1 0,0-1 0,-1 0 0,1 0 0,0 0 0,0 0 0,0 0 0,0 0 0,0 1 0,0-1 0,0 0 0,0 0 0,0 0 0,0 0 0,0 1 0,-1-1 0,1 0 0,0 0 0,0 0 0,0 0 0,0 1 0,0-1 0,0 0 0,0 0 0,1 0 0,-1 1 0,0-1 0,0 0 0,0 0 0,0 0 0,0 0 0,0 0 0,0 1 0,0-1 0,0 0 0,0 0 0,0 0 0,1 0 0,-1 0 0,0 1 0,0-1 0,0 0 0,0 0 0,0 0 0,1 0 0,13 2 0,18-4 0,-32 2 0,1 0 0,0 0 0,-1 0 0,1 0 0,0 0 0,0 0 0,-1 0 0,1 0 0,0 0 0,-1 0 0,1 0 0,0 1 0,-1-1 0,1 0 0,0 0 0,-1 1 0,1-1 0,0 1 0,-1-1 0,1 0 0,-1 1 0,1-1 0,-1 1 0,1 0 0,0 0 0,0 1 0,-1-1 0,1 1 0,0-1 0,-1 0 0,0 1 0,1-1 0,-1 1 0,0-1 0,0 1 0,0 1 0,0 2 0,0-1 0,0 1 0,-1-1 0,0 1 0,0-1 0,0 1 0,-2 3 0,0-3 0,3-4 0,-1 0 0,1 0 0,-1 0 0,1 0 0,-1 0 0,1 0 0,0 0 0,0 0 0,-1 0 0,1 0 0,0 2 0,0-2 0,1-1 0,-1 1 0,0-1 0,1 1 0,-1-1 0,1 1 0,-1-1 0,1 0 0,-1 1 0,1-1 0,-1 0 0,1 1 0,-1-1 0,1 0 0,-1 1 0,1-1 0,-1 0 0,1 0 0,0 0 0,-1 1 0,1-1 0,-1 0 0,1 0 0,0 0 0,-1 0 0,2 0 0,32 2-45,57-2-1,-50-1-1228,-11 1-5552</inkml:trace>
  <inkml:trace contextRef="#ctx0" brushRef="#br0" timeOffset="11810.68">2006 643 24575,'4'0'0,"3"0"0,2 0 0,1 0 0,2 2 0,0 0 0,-1 1 0,3-1 0,0-1 0,2 2 0,-1-1 0,4 1 0,0 3 0,-2 0 0,-1 0 0,-2-2 0,-3-1-8191</inkml:trace>
  <inkml:trace contextRef="#ctx0" brushRef="#br0" timeOffset="14057.94">2073 489 24575,'-1'-1'0,"0"0"0,1 1 0,-1-1 0,1 0 0,-1 0 0,0 1 0,0-1 0,1 0 0,-1 1 0,0-1 0,0 1 0,0-1 0,0 1 0,0 0 0,1-1 0,-1 1 0,0 0 0,0 0 0,0-1 0,0 1 0,0 0 0,0 0 0,-2 0 0,3 1 0,-1-1 0,0 1 0,0 0 0,0 0 0,1-1 0,-1 1 0,0 0 0,1 0 0,-1 0 0,1 0 0,-1-1 0,1 1 0,-1 0 0,1 0 0,-1 0 0,1 0 0,0 0 0,0 0 0,-1 1 0,1-1 0,0 1 0,0 1 0,-3 28 0,3-29 0,0 0 0,0-1 0,0 1 0,0 0 0,1-1 0,-1 1 0,1 0 0,-1-1 0,1 1 0,-1-1 0,1 1 0,0-1 0,0 1 0,0-1 0,0 0 0,1 3 0,1-1 0,0 0 0,-1 0 0,0 0 0,0 0 0,0 1 0,0-1 0,0 1 0,-1-1 0,2 7 0,7 34 0,15 125-1365,-24-157-5461</inkml:trace>
  <inkml:trace contextRef="#ctx0" brushRef="#br0" timeOffset="14726.02">2425 808 24575,'0'0'-8191</inkml:trace>
  <inkml:trace contextRef="#ctx0" brushRef="#br0" timeOffset="15213.28">2690 808 24575,'0'0'-8191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52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 24575,'0'-2'0,"0"1"0,1-1 0,-1 1 0,0-1 0,1 1 0,0-1 0,-1 1 0,1 0 0,0-1 0,0 1 0,0 0 0,0 0 0,0 0 0,0-1 0,0 1 0,0 0 0,0 0 0,1 0 0,-1 1 0,0-1 0,1 0 0,-1 0 0,1 1 0,1-1 0,5-2 0,-1 0 0,1 1 0,10-2 0,7 0 0,1 2 0,0 1 0,31 3 0,1 0 0,86-3 0,163 2 0,-228 4 0,50 1 0,613-6 0,-733 0 0,0 1 0,0 1 0,0 0 0,13 4 0,-12-3 0,0 0 0,0-1 0,15 2 0,192-4 0,-102-1 0,1485 1 0,-1458 6 0,-13-1 0,-22-6 0,57 2 0,-116 4 0,8 1 0,-11-5 0,104-3 0,-107-2 36,24-2-1437,-51 5-5425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6:54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83 24575,'42'-1'0,"26"0"0,-59 2 0,0-1 0,0 2 0,0-1 0,-1 1 0,13 5 0,-16-5 0,-1 1 0,1 0 0,-1 0 0,0 0 0,0 1 0,0-1 0,0 1 0,0 0 0,-1 0 0,0 0 0,0 0 0,0 1 0,3 6 0,16 20 0,-20-27 0,1 0 0,0 1 0,-1-1 0,0 1 0,0-1 0,0 1 0,-1 0 0,1-1 0,-1 1 0,0 0 0,-1 0 0,1 0 0,-1 8 0,5 27 0,-5-39 0,0 0 0,0 0 0,0-1 0,1 1 0,-1 0 0,0 0 0,1 0 0,-1-1 0,0 1 0,1 0 0,-1 0 0,1-1 0,-1 1 0,1 0 0,-1-1 0,1 1 0,0-1 0,-1 1 0,1 0 0,0-1 0,-1 0 0,1 1 0,0-1 0,0 1 0,0-1 0,-1 0 0,1 0 0,0 1 0,0-1 0,0 0 0,0 0 0,-1 0 0,1 0 0,0 0 0,0 0 0,0 0 0,0 0 0,0 0 0,-1 0 0,1-1 0,0 1 0,0 0 0,0-1 0,-1 1 0,1 0 0,1-2 0,4-1 0,0 0 0,0-1 0,0 0 0,7-7 0,-13 11 0,69-62 0,66-53 0,-8 21 0,-126 93 0,1 0 0,0-1 0,0 1 0,0 0 0,0 0 0,0 0 0,0 0 0,0 0 0,0 0 0,1 1 0,-1-1 0,3 0 0,-4 2 0,0-1 0,0 0 0,0 1 0,0-1 0,1 0 0,-1 1 0,0 0 0,0-1 0,0 1 0,0-1 0,0 1 0,-1 0 0,1 0 0,0 0 0,0 0 0,0-1 0,-1 1 0,1 0 0,0 0 0,-1 0 0,1 1 0,-1-1 0,1 0 0,0 2 0,3 8 0,0 1 0,-1-1 0,0 1 0,0 0 0,1 21 0,-3 62 0,-2-57 0,0 121-1365,1-150-5461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7:09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12 873 24575,'-1'-5'0,"-2"14"0,-1 13 0,1 113 0,3-88 0,0-45 0,0 0 0,0-1 0,1 1 0,-1 0 0,0 0 0,1 0 0,-1 0 0,1 0 0,0-1 0,-1 1 0,1 0 0,0 0 0,0-1 0,0 1 0,0-1 0,0 1 0,1-1 0,-1 1 0,0-1 0,1 0 0,-1 0 0,1 1 0,0-1 0,-1 0 0,1 0 0,0-1 0,-1 1 0,1 0 0,0-1 0,0 1 0,0-1 0,2 1 0,6 1 0,1-1 0,0 0 0,0-1 0,18-2 0,-8 1 0,-14 2 0,1-1 0,0-1 0,0 0 0,-1 0 0,1 0 0,-1-1 0,1 0 0,-1 0 0,0-1 0,14-7 0,8-9 0,-1 0 0,47-43 0,-73 59 0,1 1 0,-1 0 0,0-1 0,0 1 0,0-1 0,0 1 0,0-1 0,-1 0 0,1 0 0,-1 0 0,1 0 0,-1 0 0,0 0 0,-1 0 0,1-1 0,0-5 0,-1 5 0,0 1 0,-1-1 0,1 0 0,-1 0 0,0 1 0,0-1 0,0 0 0,-1 1 0,1-1 0,-1 1 0,0 0 0,0-1 0,0 1 0,-4-4 0,-1-2 0,-2 1 0,1-1 0,-1 2 0,0-1 0,-1 1 0,0 1 0,0 0 0,0 0 0,-1 1 0,0 0 0,0 1 0,-15-4 0,-6 1 0,1 1 0,-1 1 0,-41 0 0,72 5 0,0 0 0,0 0 0,-1 0 0,1 0 0,0 0 0,0 0 0,0-1 0,0 1 0,0 0 0,0-1 0,0 1 0,0 0 0,-1-1 0,1 0 0,-1 0 0,2 1 0,0-1 0,0 1 0,0 0 0,0-1 0,0 1 0,0 0 0,0-1 0,0 1 0,0 0 0,0-1 0,0 1 0,0 0 0,0-1 0,0 1 0,0 0 0,0-1 0,0 1 0,1 0 0,-1 0 0,0-1 0,0 1 0,0 0 0,0-1 0,1 1 0,-1 0 0,0 0 0,0-1 0,1 1 0,-1 0 0,0 0 0,1-1 0,4-3 0,0 0 0,1 1 0,10-7 0,41-19 0,1 3 0,105-33 0,-154 58 0,1-1 0,-1 1 0,0 0 0,0 1 0,13 1 0,-12 0 0,0-1 0,0 0 0,16-2 0,-25 1 10,0 1 0,0 0 0,0 0-1,0-1 1,0 1 0,0 0 0,0-1 0,-1 1-1,1-1 1,0 1 0,1-2 0,-2 2-49,1-1 0,-1 1 0,0 0 0,0 0 0,0-1 0,0 1 0,0 0 0,0-1 0,0 1 0,1 0 0,-1-1 0,0 1 0,0 0 0,0 0 0,0-1-1,0 1 1,0 0 0,0-1 0,0 1 0,-1 0 0,1-1 0,0 1 0,0 0 0,0-1 0,0 1 0,0 0 0,0 0 0,-1-1 0,1 1 0,0 0 0,0 0 0,0-1 0,-1 1 0,1 0 0,0 0 0,0 0 0,-1-1 0,-6-5-6787</inkml:trace>
  <inkml:trace contextRef="#ctx0" brushRef="#br0" timeOffset="1935.78">376 101 24575,'0'-1'0,"1"-1"0,-1 1 0,1-1 0,-1 1 0,1 0 0,-1-1 0,1 1 0,0 0 0,0 0 0,-1-1 0,1 1 0,0 0 0,0 0 0,0 0 0,0 0 0,1 0 0,-1 0 0,0 0 0,0 1 0,0-1 0,1 0 0,-1 1 0,0-1 0,1 1 0,1-1 0,6-2 0,1 0 0,14-2 0,-20 4 0,14-2 0,-1 1 0,1 1 0,0 0 0,24 3 0,-41-2 0,0 0 0,1 1 0,-1-1 0,1 1 0,-1 0 0,0-1 0,1 1 0,-1 0 0,0 0 0,1 0 0,-1 0 0,0 0 0,0 0 0,0 0 0,0 1 0,0-1 0,0 0 0,-1 0 0,1 1 0,0-1 0,-1 1 0,1-1 0,-1 0 0,1 1 0,-1-1 0,1 1 0,-1-1 0,0 1 0,0-1 0,0 4 0,0-2 0,0 1 0,0 0 0,0-1 0,0 1 0,-1 0 0,1-1 0,-1 1 0,0-1 0,0 1 0,0-1 0,-1 1 0,-1 3 0,-5 2 0,0 0 0,0-1 0,-1 0 0,0 0 0,-1-1 0,1 0 0,-18 9 0,5-2 0,17-10 0,0 0 0,0 0 0,1 0 0,-1 1 0,1 0 0,0 0 0,-3 6 0,2-4 0,0 0 0,-10 11 0,14-18 0,0 1 0,0 0 0,0 0 0,1-1 0,-1 1 0,0 0 0,1 0 0,-1 0 0,1 0 0,-1 0 0,0 1 0,1-1 0,0-1 0,0 0 0,0 0 0,0 1 0,0-1 0,0 0 0,0 0 0,0 1 0,0-1 0,0 0 0,1 0 0,-1 1 0,0-1 0,0 0 0,0 0 0,0 0 0,0 1 0,0-1 0,1 0 0,-1 0 0,0 0 0,0 0 0,0 1 0,0-1 0,1 0 0,-1 0 0,0 0 0,0 0 0,1 0 0,-1 0 0,0 1 0,4-1 0,-1 1 0,0-1 0,1 1 0,-1-1 0,6 0 0,-8 0 0,199-2 0,-186 1-195,0-1 0,0 0 0,-1 0 0,1-2 0,-1 0 0,23-9 0,-18 5-6631</inkml:trace>
  <inkml:trace contextRef="#ctx0" brushRef="#br0" timeOffset="3133.1">56 487 24575,'0'1'0,"0"-1"0,1 1 0,-1 0 0,0-1 0,0 1 0,0 0 0,1-1 0,-1 1 0,0 0 0,1-1 0,-1 1 0,1-1 0,-1 1 0,1-1 0,-1 1 0,1-1 0,-1 1 0,1-1 0,-1 1 0,1-1 0,-1 1 0,1-1 0,0 0 0,-1 0 0,1 1 0,0-1 0,-1 0 0,2 0 0,23 4 0,-19-3 0,210 3-2,-130-5-1361,-78 1-5463</inkml:trace>
  <inkml:trace contextRef="#ctx0" brushRef="#br0" timeOffset="11196.2">2405 476 24575,'-2'83'0,"4"88"0,-2-170 0,0 1 0,0 0 0,1-1 0,-1 1 0,0-1 0,1 1 0,0 0 0,-1-1 0,1 1 0,0-1 0,-1 0 0,1 1 0,0-1 0,0 0 0,0 1 0,1-1 0,-1 0 0,0 0 0,0 0 0,0 0 0,2 1 0,3 1 0,-1-1 0,1 1 0,0-1 0,9 2 0,-11-3 0,1 0 0,-1 0 0,0 1 0,0-1 0,0 1 0,0 0 0,0 0 0,0 0 0,5 5 0,-7-5 0,0 0 0,0 0 0,1 0 0,-1-1 0,0 1 0,1-1 0,-1 1 0,1-1 0,0 0 0,-1 0 0,1 0 0,0 0 0,0-1 0,-1 1 0,1-1 0,0 0 0,0 1 0,5-2 0,0 0 0,-1 0 0,0-1 0,-1 0 0,1 0 0,0-1 0,9-4 0,-14 5 0,1 1 0,0-1 0,-1 0 0,1 0 0,-1 0 0,0-1 0,0 1 0,0-1 0,0 1 0,0-1 0,0 0 0,-1 1 0,0-1 0,1 0 0,-1 0 0,0 0 0,0 0 0,0 0 0,0-4 0,1-7 0,0 0 0,-1-28 0,-1 32 0,1-13 0,0 14 0,-1 1 0,0-1 0,0 0 0,-1 1 0,0-1 0,0 1 0,-1-1 0,-3-10 0,4 17 0,0 0 0,-1 0 0,1 0 0,-1 0 0,1 0 0,-1 1 0,1-1 0,-1 1 0,0-1 0,0 1 0,0-1 0,0 1 0,0 0 0,-4-2 0,-3 0 0,0 0 0,-14-2 0,15 3 0,1 1 0,-15-7 0,13 5 0,-1-1 0,0 1 0,0 0 0,0 1 0,-19-2 0,28 4 0,-1 0 0,1-1 0,0 1 0,-1 0 0,1-1 0,0 1 0,-1-1 0,1 1 0,0-1 0,0 1 0,-1-1 0,1 0 0,-2-1 0,3 2 0,0-1 0,0 1 0,0 0 0,0 0 0,0 0 0,0-1 0,-1 1 0,1 0 0,0 0 0,0 0 0,0-1 0,0 1 0,0 0 0,0 0 0,0-1 0,0 1 0,0 0 0,0 0 0,0 0 0,0-1 0,0 1 0,0 0 0,0 0 0,0-1 0,0 1 0,0 0 0,1 0 0,-1 0 0,0-1 0,11-6 0,19-2 0,33-7 0,-22 6 0,-18 4 0,9-2 0,57-8 0,-24 16-1365,-55 0-5461</inkml:trace>
  <inkml:trace contextRef="#ctx0" brushRef="#br0" timeOffset="12566.84">2537 2 24575,'0'0'0,"2"0"0,0 2 0,1 2 0,-1 7 0,-1 3 0,0 0 0,-1 1 0,0-1 0,-2 1 0,0 0 0,-2-1 0,-1-1 0,2-2-8191</inkml:trace>
  <inkml:trace contextRef="#ctx0" brushRef="#br0" timeOffset="15456.94">2471 2 24575,'26'-1'0,"-16"1"0,1-1 0,-1 1 0,1 1 0,-1 0 0,16 4 0,-25-5 0,0 0 0,1 1 0,-1-1 0,0 1 0,0-1 0,-1 1 0,1-1 0,0 1 0,0 0 0,0-1 0,0 1 0,0 0 0,-1 0 0,1 0 0,0-1 0,-1 1 0,1 0 0,0 0 0,-1 0 0,1 0 0,-1 0 0,0 0 0,1 0 0,-1 0 0,0 0 0,0 1 0,1-1 0,-1 0 0,0 1 0,-1 4 0,1-1 0,-1 0 0,0 1 0,0-1 0,-3 5 0,-1 14 0,4 14 0,1-29 0,0-1 0,0 1 0,-1 0 0,0-1 0,0 1 0,-5 12 0,0-3 0,-2 0 0,0 0 0,-16 24 0,20-36 0,-1 1 0,0-1 0,-1 0 0,1 0 0,-1 0 0,0-1 0,-1 0 0,1 0 0,-1-1 0,0 0 0,-8 4 0,5-2 0,17-3 0,18-5 0,13-7 0,0-1 0,37-16 0,-2 1 0,-59 22-5,0 0-1,0 1 0,0 1 1,0 0-1,0 1 1,17 3-1,10-2-1320,-23-1-5500</inkml:trace>
  <inkml:trace contextRef="#ctx0" brushRef="#br0" timeOffset="6468.76">1435 796 24575,'1'0'0,"7"0"0,10 0 0,8 0 0,10 0 0,3 0 0,-4 0 0,-6 0 0,-4 0 0,-7 0-8191</inkml:trace>
  <inkml:trace contextRef="#ctx0" brushRef="#br0" timeOffset="5466.06">575 1281 24575,'0'21'0,"-1"-54"0,2-94 0,0 122 0,-1 0 0,1 0 0,0 0 0,0 0 0,1 0 0,-1 1 0,4-8 0,-4 11 0,-1 0 0,1 0 0,-1 0 0,1 1 0,-1-1 0,1 0 0,0 0 0,-1 0 0,1 1 0,0-1 0,-1 0 0,1 1 0,0-1 0,0 0 0,0 1 0,0-1 0,0 1 0,0 0 0,0-1 0,-1 1 0,1 0 0,0-1 0,0 1 0,0 0 0,0 0 0,0 0 0,1 0 0,-1 0 0,0 0 0,0 0 0,0 0 0,0 0 0,0 1 0,0-1 0,-1 0 0,1 1 0,0-1 0,0 1 0,0-1 0,0 1 0,0-1 0,1 2 0,0 0 0,1 0 0,0 1 0,-1-1 0,1 1 0,-1 0 0,0 0 0,0 0 0,0 0 0,0 0 0,0 0 0,-1 0 0,3 8 0,0 4 0,5 27 0,-4-11 0,-2-17 0,4 17 0,-6-30 0,-1 1 0,1-1 0,-1 1 0,1-1 0,0 0 0,0 1 0,0-1 0,-1 1 0,1-1 0,0 0 0,1 0 0,-1 0 0,0 0 0,0 0 0,2 1 0,-2-1 0,-1-1 0,1 0 0,0 0 0,0 0 0,-1 0 0,1 0 0,0 0 0,-1 0 0,1 0 0,0 0 0,0 0 0,-1 0 0,1 0 0,0 0 0,-1 0 0,1-1 0,0 1 0,-1 0 0,1-1 0,0 1 0,-1 0 0,1-1 0,-1 1 0,1-1 0,-1 1 0,1-1 0,-1 1 0,2-2 0,11-17 0,-12 18 0,26-48 0,33-50 0,-58 96 0,0 0 0,1-1 0,-1 1 0,1 1 0,4-5 0,-6 7 0,0-1 0,-1 1 0,1-1 0,0 1 0,-1 0 0,1-1 0,0 1 0,0 0 0,-1 0 0,1 0 0,0 0 0,0-1 0,-1 1 0,1 0 0,0 0 0,0 0 0,-1 0 0,1 1 0,0-1 0,0 0 0,0 0 0,-1 0 0,1 1 0,0-1 0,-1 0 0,1 1 0,0-1 0,-1 0 0,1 1 0,0-1 0,-1 1 0,1-1 0,0 2 0,3 2 0,-1 0 0,-1 0 0,1 0 0,0 0 0,-1 0 0,0 1 0,3 8 0,9 37 0,-10-32 0,-2-8 0,1-1 0,0 0 0,0 0 0,1 0 0,0 0 0,0-1 0,1 0 0,0 0 0,9 11 0,-1-3-170,1 1-1,-2 0 0,0 0 1,-2 2-1,0-1 0,0 1 1,9 30-1,-16-38-6655</inkml:trace>
  <inkml:trace contextRef="#ctx0" brushRef="#br0" timeOffset="7608">1523 972 24575,'2'0'0,"0"-2"0,2 0 0,3-1 0,4 1 0,6 1 0,6 0 0,6 1 0,-1 0 0,-3 0 0,-6 0 0,-4 0 0,-3 0 0,0 0 0,-1 0-8191</inkml:trace>
  <inkml:trace contextRef="#ctx0" brushRef="#br0" timeOffset="16948.59">2900 785 24575,'1'42'0,"-1"-1"0,-7 73 0,6-113 0,0-6 0,0-17 0,-1-28 0,3 29 0,1 0 0,1 1 0,0-1 0,7-19 0,-6 26 0,1 1 0,0 1 0,0-1 0,2 1 0,-1 0 0,2 0 0,8-11 0,-15 22 0,0 0 0,0 0 0,0 0 0,-1-1 0,1 1 0,0 1 0,1-1 0,-1 0 0,0 0 0,0 0 0,0 0 0,0 1 0,1-1 0,-1 1 0,0-1 0,1 1 0,-1-1 0,0 1 0,1 0 0,-1-1 0,0 1 0,1 0 0,-1 0 0,1 0 0,1 1 0,-1-1 0,0 1 0,0 0 0,-1 0 0,1 0 0,0 1 0,0-1 0,-1 0 0,1 1 0,-1-1 0,1 1 0,-1 0 0,1-1 0,-1 1 0,0 0 0,2 3 0,8 20 0,-1-1 0,-1 1 0,-1 1 0,6 30 0,-10-38 0,1 10 0,-1 0 0,-2 1 0,-1-1 0,-3 31 0,1-9 0,0 168 0,1-212 0,0 19 0,0-24 0,0 0 0,1 0 0,-1 0 0,0 0 0,0 0 0,1 0 0,-1 0 0,0 0 0,1 0 0,-1 0 0,1 0 0,0 0 0,-1 0 0,1 0 0,-1-1 0,3 3 0,-3-3 0,0 0 0,0 0 0,0 0 0,1 0 0,-1 0 0,0 0 0,0 0 0,0 0 0,1 0 0,-1 0 0,0 0 0,0 0 0,0 0 0,1-1 0,-1 1 0,0 0 0,0 0 0,0 0 0,1 0 0,-1 0 0,0 0 0,0 0 0,0-1 0,0 1 0,0 0 0,1 0 0,-1 0 0,0 0 0,0 0 0,0-1 0,0 1 0,0 0 0,0 0 0,0 0 0,0-1 0,0 1 0,1 0 0,-1 0 0,0 0 0,0-1 0,0 1 0,0 0 0,2-11 0,-2 10 0,3-21-1365,-1-1-5461</inkml:trace>
  <inkml:trace contextRef="#ctx0" brushRef="#br0" timeOffset="17931.54">2746 829 24575,'6'0'0,"5"0"0,9 0 0,11 0 0,19 3 0,15 3 0,7-2 0,4 2 0,-1-1 0,-1-1 0,-3-1 0,4-5 0,-3-4 0,-7-1 0,-10-3 0,-15 0-8191</inkml:trace>
  <inkml:trace contextRef="#ctx0" brushRef="#br0" timeOffset="19265.04">2151 1270 24575,'15'1'0,"-1"0"0,28 6 0,-7 0 0,61 8 0,266 30 0,-253-42 0,175-18 0,-174 8 0,-68 4 0,-23 1 34,0-1 0,23-7 0,2 0-1501,-26 7-5359</inkml:trace>
  <inkml:trace contextRef="#ctx0" brushRef="#br0" timeOffset="21121.36">2460 1788 24575,'74'-1'0,"81"2"0,-153 0 0,0-1 0,1 0 0,-1 1 0,0-1 0,0 1 0,1 0 0,-1 0 0,0 0 0,0 0 0,0 0 0,0 0 0,0 0 0,0 1 0,0-1 0,-1 1 0,1-1 0,0 1 0,-1 0 0,1 0 0,-1-1 0,0 1 0,0 0 0,1 0 0,-1 1 0,-1-1 0,1 0 0,0 0 0,0 0 0,-1 1 0,1 2 0,1 8 0,-1 0 0,-1-1 0,0 1 0,-3 19 0,1-9 0,2-16 0,-1 15 0,0-21 0,1 0 0,0 0 0,0-1 0,0 1 0,0 0 0,1 0 0,-1-1 0,0 1 0,0 0 0,0-1 0,1 1 0,-1 0 0,0-1 0,1 1 0,-1 0 0,0-1 0,1 1 0,-1-1 0,1 1 0,-1 0 0,1 0 0,0-1 0,-1-1 0,1 1 0,-1 0 0,1 0 0,-1-1 0,1 1 0,-1 0 0,1 0 0,-1-1 0,0 1 0,1 0 0,-1-1 0,0 1 0,1-1 0,-1 1 0,0 0 0,1-1 0,-1 1 0,0-1 0,0 1 0,0-1 0,1 1 0,-1-1 0,0 1 0,0-1 0,0 1 0,0-1 0,0 1 0,0-1 0,0 0 0,3-19 0,-3 19 0,2-16 0,1 0 0,0 0 0,1 0 0,0 1 0,2 0 0,0 0 0,1 0 0,0 1 0,1 0 0,1 0 0,19-24 0,-11 19 0,66-74 0,-81 93 0,-1 0 0,0-1 0,1 1 0,-1 0 0,1 0 0,-1 0 0,1 0 0,-1 0 0,1 0 0,0 0 0,0 0 0,-1 1 0,1-1 0,0 1 0,0-1 0,3 1 0,-4 0 0,0 1 0,0-1 0,0 0 0,0 1 0,0 0 0,0-1 0,0 1 0,0 0 0,0-1 0,0 1 0,-1 0 0,1 0 0,0 0 0,0 0 0,-1 0 0,1 0 0,-1 0 0,1 0 0,-1 0 0,1 0 0,-1 0 0,0 0 0,1 0 0,-1 0 0,0 1 0,0-1 0,0 2 0,4 35 0,-4-28 0,1 0 0,3 14 0,-3-20 0,0-1 0,0 1 0,1-1 0,-1 1 0,1-1 0,-1 0 0,1 0 0,1 0 0,-1 0 0,4 4 0,-2-3 0,0 0 0,0 0 0,-1 0 0,1 1 0,-1-1 0,0 1 0,0 0 0,0 0 0,-1 0 0,0 0 0,0 0 0,0 0 0,-1 1 0,2 7 0,0 17 0,-1 42 0,-2-29 0,0-42 7,0 1-1,0-1 0,0 1 0,0-1 1,0 1-1,1-1 0,-1 1 1,0-1-1,1 1 0,-1-1 1,1 1-1,0-1 0,-1 0 0,1 1 1,0-1-1,0 0 0,0 0 1,2 2-1,-2-2-99,1 0 0,-1 0 1,1-1-1,0 1 0,-1 0 0,1-1 0,0 0 0,0 1 1,0-1-1,-1 0 0,1 0 0,0 0 0,0 0 1,0 0-1,1-1 0,7 0-6733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01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1 279 24575,'0'0'0,"0"0"0,1 0 0,-1 0 0,1 0 0,-1 1 0,1-1 0,-1 0 0,0 0 0,1 1 0,-1-1 0,0 0 0,1 1 0,-1-1 0,0 0 0,0 1 0,1-1 0,-1 1 0,0-1 0,0 1 0,1-1 0,-1 0 0,0 1 0,0-1 0,0 1 0,0-1 0,0 1 0,0-1 0,0 1 0,2 17 0,-2-15 0,1 38 0,-1-31 0,0 0 0,0 1 0,1-1 0,0 0 0,1 0 0,0 0 0,6 15 0,2 2 0,10 18 0,-19-43 0,0 0 0,0 0 0,1 0 0,-1-1 0,1 1 0,0 0 0,-1-1 0,1 1 0,0-1 0,0 0 0,0 0 0,0 1 0,0-1 0,0 0 0,0-1 0,1 1 0,-1 0 0,0-1 0,0 1 0,1-1 0,-1 0 0,0 1 0,1-1 0,-1 0 0,0-1 0,4 1 0,5-2 0,1 0 0,0-1 0,20-8 0,-20 7 0,-3 0 0,-1 0 0,0-1 0,0 1 0,-1-1 0,1-1 0,-1 0 0,0 0 0,-1 0 0,1 0 0,9-15 0,-12 15 0,0-1 0,0 0 0,0 0 0,-1 0 0,4-15 0,0 2 0,-6 17 0,27-82 0,-24 73 0,-2 0 0,1-1 0,-2 1 0,0-1 0,0-14 0,-1 26 0,0-1 0,-1 0 0,1 1 0,-1-1 0,1 0 0,-1 1 0,0-1 0,1 0 0,-1 1 0,0-1 0,0 1 0,0 0 0,0-1 0,0 1 0,-1 0 0,1-1 0,0 1 0,0 0 0,-1 0 0,1 0 0,-1 0 0,1 0 0,-1 1 0,1-1 0,-1 0 0,0 1 0,1-1 0,-4 0 0,-4-1 0,-1 1 0,0-1 0,-18 1 0,22 1 0,-70 2 0,-19-2 0,94 0 0,0 0 0,0 0 0,-1 0 0,1 0 0,0-1 0,0 1 0,0 0 0,0-1 0,0 1 0,-2-2 0,2 2 0,1 0 0,0-1 0,-1 1 0,1 0 0,0 0 0,0-1 0,-1 1 0,1 0 0,0-1 0,0 1 0,0 0 0,-1-1 0,1 1 0,0 0 0,0-1 0,0 1 0,0 0 0,0-1 0,0 1 0,0-1 0,0 1 0,0-1 0,0 0 0,0 0 0,1-1 0,-1 1 0,1 0 0,0 0 0,-1 0 0,1 0 0,0 0 0,0 0 0,-1 0 0,1 0 0,0 0 0,0 1 0,0-1 0,0 0 0,0 1 0,0-1 0,3-1 0,4-1 0,1-1 0,0 1 0,15-2 0,11-4 0,0-4-341,0-1 0,0-2-1,47-29 1,-62 31-6485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04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10 24575,'0'-1'0,"1"1"0,-1-1 0,0 1 0,0-1 0,1 1 0,-1-1 0,0 1 0,0-1 0,1 1 0,-1-1 0,1 1 0,-1 0 0,0-1 0,1 1 0,-1 0 0,1-1 0,-1 1 0,1 0 0,-1 0 0,1-1 0,-1 1 0,1 0 0,-1 0 0,1 0 0,-1 0 0,1 0 0,0 0 0,-1 0 0,1 0 0,-1 0 0,1 0 0,0 0 0,1 0 0,0 0 0,-1 0 0,1 0 0,0 0 0,0 0 0,0 1 0,-1-1 0,4 2 0,-4-2 0,-1 0 0,1 1 0,0-1 0,-1 1 0,1-1 0,-1 1 0,1 0 0,-1-1 0,1 1 0,-1-1 0,1 1 0,-1 0 0,0 0 0,1-1 0,-1 1 0,0 0 0,1 0 0,-1-1 0,0 1 0,0 0 0,0 0 0,0-1 0,0 1 0,0 1 0,0 1 0,0-1 0,-1 0 0,0 0 0,1 0 0,-1 0 0,0 0 0,0 0 0,0 0 0,-2 2 0,-2 4 0,-1-1 0,-1 1 0,-7 6 0,14-14 0,-25 21 0,18-15 0,0 0 0,0 0 0,-9 10 0,16-15 0,-1-1 0,0 1 0,1-1 0,-1 1 0,1-1 0,0 1 0,-1 0 0,1-1 0,-1 1 0,1 0 0,0-1 0,0 1 0,-1 0 0,1-1 0,0 1 0,0 0 0,0-1 0,0 1 0,0 0 0,0 0 0,0-1 0,0 1 0,0 0 0,0 0 0,0-1 0,0 1 0,0 0 0,1 0 0,-1-1 0,0 1 0,0 0 0,1-1 0,-1 1 0,1-1 0,-1 1 0,1 0 0,-1-1 0,1 1 0,-1-1 0,1 1 0,-1-1 0,1 1 0,-1-1 0,1 0 0,0 1 0,-1-1 0,1 0 0,0 1 0,-1-1 0,1 0 0,0 0 0,1 1 0,5 1 0,1-1 0,0 1 0,0-1 0,7 0 0,-7 0 0,215 10 0,-220-11-105,0-1 0,1 1 0,-1 0 0,0-1 0,0 0 0,0 0 0,1 0 0,-1 0 0,0-1 0,-1 1 0,1-1 0,4-2 0,6-6-6721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05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88 241 24575,'0'13'0,"1"18"0,-1-1 0,-2 1 0,-2-1 0,-8 39 0,16-92 0,-2 0 0,-1 0 0,-1-24 0,-1 11 0,1 11 0,0 13 0,0-1 0,0 1 0,1 0 0,0-1 0,1 1 0,1 0 0,5-17 0,-8 28 0,1 0 0,-1 0 0,0 0 0,1 0 0,-1 0 0,1 0 0,0 0 0,-1 0 0,1 0 0,0 1 0,-1-1 0,1 0 0,0 0 0,0 0 0,0 1 0,0-1 0,0 0 0,0 1 0,0-1 0,0 1 0,0-1 0,0 1 0,0 0 0,0-1 0,0 1 0,0 0 0,0 0 0,0 0 0,1 0 0,-1 0 0,0 0 0,0 0 0,0 0 0,0 0 0,0 0 0,0 1 0,0-1 0,2 1 0,0 1 0,0-1 0,-1 1 0,1-1 0,0 1 0,-1 0 0,0 0 0,0 0 0,1 1 0,-1-1 0,0 0 0,-1 1 0,1-1 0,2 5 0,1 5 0,0 1 0,-1 0 0,0 0 0,3 23 0,3 58 0,-9-77 0,1 34-1365,-1-33-5461</inkml:trace>
  <inkml:trace contextRef="#ctx0" brushRef="#br0" timeOffset="1025.75">1 352 24575,'0'-2'0,"0"-3"0,0-1 0,2-3 0,2-5 0,1-2 0,3 2 0,0 1 0,1 3 0,0 4 0,7 1 0,4 3 0,4 2 0,4-2 0,-1 0 0,-4 0 0,-5 0-8191</inkml:trace>
  <inkml:trace contextRef="#ctx0" brushRef="#br0" timeOffset="1770.98">706 198 24575,'2'0'0,"2"0"0,3 0 0,5 0 0,5 0 0,5 0 0,5 0 0,0 0 0,-1 0 0,-4 0 0,-2 0 0,-2 0 0,-3 0 0,-1 0 0,-4 1 0,-3 2-8191</inkml:trace>
  <inkml:trace contextRef="#ctx0" brushRef="#br0" timeOffset="2938.69">805 329 24575,'181'0'-1365,"-169"0"-5461</inkml:trace>
  <inkml:trace contextRef="#ctx0" brushRef="#br0" timeOffset="4757.52">1346 98 24575,'15'1'0,"1"0"0,-1 2 0,1 0 0,-1 1 0,0 0 0,0 1 0,25 13 0,-36-16 0,-1-1 0,1 2 0,-1-1 0,1 0 0,-1 1 0,0-1 0,0 1 0,0 0 0,0 0 0,-1 0 0,1 0 0,-1 1 0,0-1 0,0 1 0,0-1 0,0 1 0,1 5 0,1 3 0,-2 0 0,0 0 0,0 1 0,-1 15 0,4 21 0,-5-48 0,0-1 0,0 1 0,0 0 0,0-1 0,0 1 0,0 0 0,0-1 0,0 1 0,0-1 0,1 1 0,-1 0 0,0-1 0,1 1 0,-1-1 0,0 1 0,1 0 0,-1-1 0,1 1 0,-1-1 0,1 1 0,-1-1 0,1 0 0,-1 1 0,2 0 0,-2-1 0,1 0 0,0 0 0,-1-1 0,1 1 0,0 0 0,-1 0 0,1-1 0,0 1 0,-1 0 0,1-1 0,-1 1 0,1 0 0,0-1 0,-1 1 0,1-1 0,-1 1 0,0-1 0,1 1 0,0-1 0,4-6 0,-1 1 0,7-14 0,1-6 0,-1 0 0,-2-1 0,0 0 0,7-46 0,-16 71 0,1 1 0,-1-1 0,0 0 0,1 1 0,-1-1 0,1 1 0,0-1 0,0 1 0,0-1 0,-1 1 0,3-2 0,-3 2 0,1 1 0,-1 0 0,1 0 0,-1-1 0,1 1 0,-1 0 0,1 0 0,-1 0 0,1 0 0,-1 0 0,1 0 0,0-1 0,-1 1 0,1 0 0,-1 1 0,1-1 0,-1 0 0,1 0 0,-1 0 0,1 0 0,-1 0 0,1 0 0,-1 1 0,1-1 0,-1 0 0,1 1 0,-1-1 0,1 0 0,-1 1 0,1-1 0,-1 0 0,0 1 0,1-1 0,-1 1 0,0-1 0,1 0 0,-1 2 0,12 12 0,-1 1 0,-1 1 0,-1 0 0,14 32 0,-5-11 0,-11-24 0,-2 1 0,1-1 0,-2 1 0,5 21 0,3 56 0,-11-83-1365</inkml:trace>
  <inkml:trace contextRef="#ctx0" brushRef="#br0" timeOffset="5098.03">2040 352 24575,'0'0'0</inkml:trace>
  <inkml:trace contextRef="#ctx0" brushRef="#br0" timeOffset="8177.72">2503 76 24575,'-15'33'0,"1"0"0,1 1 0,-8 40 0,18-62 0,-3 2 0,5-11 0,0 0 0,0 0 0,0 0 0,0-1 0,1 1 0,-1 5 0,1-7 0,0 0 0,0 0 0,0 0 0,0 0 0,1 0 0,-1 0 0,0 0 0,1 0 0,-1 0 0,1 0 0,-1 0 0,1 0 0,-1 0 0,1-1 0,0 1 0,0 0 0,-1 0 0,1-1 0,0 1 0,0 0 0,0-1 0,-1 1 0,2 0 0,6 3 0,-1-1 0,1 0 0,-1 0 0,1-1 0,0 0 0,8 1 0,-4-1 0,-1 1 0,14 4 0,-6 2 0,1-2 0,0-1 0,1 0 0,-1-2 0,1 0 0,30 1 0,-49-5 0,0 0 0,0 0 0,0 0 0,0 0 0,-1 0 0,1-1 0,0 1 0,0-1 0,0 0 0,0 1 0,0-1 0,0 0 0,-1 0 0,1 0 0,0 0 0,-1 0 0,1-1 0,-1 1 0,1 0 0,-1-1 0,0 1 0,1-1 0,-1 1 0,0-1 0,0 0 0,0 0 0,0 1 0,-1-1 0,1 0 0,0 0 0,0-3 0,1-4 0,-1-1 0,0 0 0,-1 0 0,0 0 0,-1-11 0,-1 3 0,1-8 0,-1 1 0,-7-28 0,8 50 0,0 0 0,1 1 0,-1-1 0,-1 1 0,1-1 0,0 1 0,-1 0 0,1-1 0,-1 1 0,1 0 0,-1 0 0,0 0 0,0 0 0,0 0 0,0 1 0,-1-1 0,-3-2 0,-3 0 0,0-1 0,-1 2 0,-15-5 0,17 6 0,-1-1 0,1 0 0,-1 0 0,-8-5 0,8 2 0,5 4 0,0 0 0,0-1 0,0 1 0,1-1 0,-1 0 0,1 0 0,-1 0 0,-2-5 0,5 7 0,1 1 0,0 0 0,0-1 0,0 1 0,-1 0 0,1-1 0,0 1 0,0-1 0,0 1 0,0 0 0,0-1 0,0 1 0,0-1 0,0 1 0,0 0 0,0-1 0,0 1 0,0-1 0,0 1 0,0 0 0,0-1 0,1 1 0,-1 0 0,0-1 0,0 1 0,0-1 0,0 1 0,1 0 0,-1-1 0,0 1 0,1 0 0,-1 0 0,0-1 0,0 1 0,1 0 0,-1 0 0,0-1 0,1 1 0,-1 0 0,1 0 0,0 0 0,18-6 0,-19 6 0,37-6 0,-1 2 0,50 2 0,45-5 0,-72-1-1365,-37 5-5461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15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24 24575,'0'-1'0,"0"0"0,1 0 0,-1 1 0,0-1 0,1 0 0,-1 1 0,1-1 0,-1 0 0,1 1 0,-1-1 0,1 0 0,-1 1 0,1-1 0,0 1 0,-1-1 0,1 1 0,0-1 0,-1 1 0,1 0 0,0-1 0,0 1 0,-1 0 0,1 0 0,1-1 0,20-4 0,-21 5 0,13-2 0,0 0 0,-1 1 0,28 3 0,-40-2 0,0 0 0,-1 0 0,1 0 0,-1 0 0,1 0 0,0 0 0,-1 0 0,1 0 0,-1 0 0,1 1 0,-1-1 0,1 0 0,-1 0 0,1 1 0,-1-1 0,1 0 0,-1 1 0,1-1 0,-1 0 0,1 1 0,-1 0 0,0-1 0,0 1 0,0-1 0,0 0 0,0 1 0,0-1 0,0 0 0,0 1 0,0-1 0,0 1 0,0-1 0,0 0 0,0 1 0,-1-1 0,1 0 0,0 1 0,0-1 0,0 0 0,-1 0 0,1 1 0,0-1 0,0 0 0,-1 1 0,-20 14 0,-115 58 0,135-73 0,1 1 0,-1-1 0,1 0 0,-1 0 0,1 0 0,-1 1 0,1-1 0,-1 0 0,1 0 0,-1 1 0,1-1 0,0 0 0,-1 1 0,1-1 0,0 1 0,-1-1 0,1 0 0,0 1 0,-1-1 0,1 1 0,0-1 0,0 1 0,0-1 0,-1 1 0,1 0 0,0 0 0,1-1 0,-1 1 0,0-1 0,1 0 0,-1 1 0,0-1 0,1 1 0,-1-1 0,0 1 0,1-1 0,-1 0 0,1 0 0,-1 1 0,1-1 0,-1 0 0,1 1 0,-1-1 0,2 0 0,28 7 0,-29-7 0,86 7-1365,-62-6-5461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17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2 275 24575,'0'197'0,"-2"-267"0,4-81 0,-2 149 0,0-1 0,0 1 0,1 0 0,-1 0 0,0-1 0,1 1 0,0 0 0,0 0 0,-1 0 0,1 0 0,1 0 0,-1 0 0,0 0 0,0 0 0,1 0 0,-1 0 0,1 1 0,-1-1 0,1 1 0,0-1 0,0 1 0,0-1 0,-1 1 0,1 0 0,0 0 0,1 0 0,-1 0 0,0 0 0,0 1 0,0-1 0,0 1 0,1-1 0,-1 1 0,0 0 0,4 0 0,-1 0 0,0 0 0,0 1 0,0 0 0,0 0 0,-1 0 0,1 0 0,0 1 0,-1 0 0,1 0 0,-1 0 0,1 0 0,-1 1 0,0 0 0,0 0 0,6 5 0,-5-2 0,-1-1 0,0 1 0,0 1 0,0-1 0,0 0 0,-1 1 0,0 0 0,-1 0 0,0 0 0,0 0 0,2 13 0,-2-5 0,-1 1 0,0-1 0,-3 32 0,7-100 0,35-243 0,-39 291 0,0 0 0,0 0 0,1-1 0,-1 1 0,1 0 0,0 0 0,6-9 0,-7 13 0,1 0 0,-1 0 0,0-1 0,0 1 0,1 0 0,-1 0 0,1 0 0,-1 0 0,1 1 0,0-1 0,-1 0 0,1 1 0,0-1 0,-1 1 0,1-1 0,0 1 0,-1 0 0,1 0 0,0 0 0,0 0 0,-1 0 0,1 0 0,0 0 0,0 1 0,-1-1 0,1 0 0,0 1 0,1 0 0,2 1 0,0 0 0,0 1 0,0-1 0,0 1 0,-1 0 0,0 0 0,1 1 0,-1-1 0,0 1 0,0 0 0,-1 0 0,5 6 0,3 6 0,-1 1 0,11 21 0,3 13 0,-2 0 0,-3 2 0,-2 0 0,15 77 0,-30-117-341,0 0 0,-1-1-1,0 14 1,-2-14-6485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26.0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1028 24575,'0'1'0,"0"0"0,0 1 0,1-1 0,-1 0 0,1 0 0,-1 1 0,1-1 0,0 0 0,-1 0 0,1 0 0,0 0 0,0 0 0,-1 0 0,1 0 0,0 0 0,0 0 0,0 0 0,1-1 0,-1 1 0,2 1 0,27 12 0,-24-12 0,0 1 0,0 0 0,-1-1 0,1 2 0,-1-1 0,0 1 0,0 0 0,0 0 0,0 0 0,-1 1 0,1-1 0,-1 1 0,0 0 0,-1 0 0,1 1 0,-1-1 0,4 11 0,0 1 0,-2 1 0,0 0 0,5 29 0,0 5 0,-9-51 0,-1-1 0,0 1 0,0-1 0,0 1 0,0-1 0,0 1 0,0-1 0,0 1 0,1-1 0,-1 1 0,0-1 0,0 0 0,1 1 0,-1-1 0,0 1 0,1-1 0,-1 0 0,0 1 0,1-1 0,-1 0 0,1 1 0,-1-1 0,0 0 0,1 0 0,0 1 0,0-1 0,-1 0 0,1 0 0,0-1 0,-1 1 0,1 0 0,-1 0 0,1 0 0,-1-1 0,1 1 0,-1 0 0,1-1 0,-1 1 0,1 0 0,-1-1 0,1 1 0,-1-1 0,1 0 0,17-27 0,-17 27 0,38-77 0,-4-1 0,-4-2 0,35-134 0,-10 39 0,-53 169 0,0 0 0,0 0 0,1 0 0,7-10 0,-7 11 0,0 0 0,-1 0 0,0-1 0,4-10 0,1-8 0,9-29 0,16-87 0,-28 117 0,1 0 0,1 1 0,1 0 0,12-23 0,-5 10 0,-3 5 0,-1 4 0,14-28 0,-24 53 0,1 0 0,-1 0 0,1 0 0,0 0 0,0 0 0,0 0 0,0 1 0,0-1 0,0 1 0,0-1 0,0 1 0,0 0 0,1-1 0,-1 1 0,1 1 0,2-2 0,5 0 0,0 0 0,19-1 0,-13 1 0,268-14 0,5 17 0,-115 0 0,371-1-1365,-525 0-5461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30.6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1 888 24575,'2'0'0,"0"0"0,0 1 0,1 0 0,-1-1 0,0 1 0,0 0 0,0 0 0,0 0 0,0 1 0,0-1 0,0 0 0,0 1 0,0-1 0,-1 1 0,1-1 0,-1 1 0,1 0 0,-1 0 0,0 0 0,1 0 0,1 4 0,1 3 0,0 0 0,0 1 0,4 15 0,-7-23 0,-1 0 0,1 1 0,-1-1 0,1 0 0,0 0 0,0 1 0,0-1 0,0 0 0,0 0 0,1 0 0,-1 0 0,1 0 0,-1 0 0,1-1 0,0 1 0,0 0 0,-1-1 0,1 1 0,0-1 0,0 0 0,4 2 0,-2 0 0,0-1 0,0 1 0,-1 1 0,1-1 0,-1 0 0,0 1 0,1 0 0,-2 0 0,1 0 0,0 0 0,-1 0 0,0 0 0,3 6 0,13 23 0,-18-32 0,0 0 0,1-1 0,-1 1 0,1 0 0,-1 0 0,1-1 0,-1 1 0,1 0 0,-1-1 0,1 1 0,0-1 0,-1 1 0,1-1 0,0 1 0,-1-1 0,1 1 0,0-1 0,0 0 0,0 1 0,-1-1 0,1 0 0,0 0 0,0 1 0,0-1 0,0 0 0,-1 0 0,1 0 0,0 0 0,0 0 0,0 0 0,0 0 0,0-1 0,-1 1 0,1 0 0,0 0 0,0-1 0,0 1 0,-1 0 0,1-1 0,0 1 0,0-1 0,-1 1 0,1-1 0,0 1 0,-1-1 0,1 0 0,-1 1 0,1-1 0,-1 0 0,1 1 0,0-2 0,3-5 0,1 0 0,-1 0 0,-1 0 0,5-10 0,-7 15 0,20-50 0,43-105 0,-59 142 0,-1 0 0,-1-1 0,0 1 0,1-30 0,-5-63 0,-1 53 0,1 17 0,1-61 0,1 89 0,1-1 0,0 1 0,1 1 0,7-19 0,-2 5 0,0 3 0,17-31 0,-17 37 0,-1-1 0,0 0 0,-1-1 0,5-20 0,-7 20 0,1 0 0,12-25 0,-10 24 0,10-30 0,-16 43 0,0 0 0,0 1 0,0-1 0,0 1 0,0-1 0,1 1 0,2-6 0,-3 8 0,0 0 0,0 0 0,0 0 0,1 0 0,-1 0 0,0 0 0,1 0 0,-1 0 0,0 0 0,1 1 0,-1-1 0,1 1 0,-1-1 0,1 1 0,0-1 0,-1 1 0,1 0 0,2 0 0,48-3 0,58 6 0,-12-1 0,-65-1 0,1 1 0,0 1 0,40 10 0,-60-11 0,1 0 0,17 0 0,6 0 0,309 36 0,-292-34 0,58-5 0,-37 0 0,661 1 0,-719-1 0,25-4 0,-25 2 0,25 0 0,53 3-1365,-84 0-5461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37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42 149 24575,'0'48'0,"-2"-13"0,3-1 0,1 1 0,8 43 0,-10-75 0,1 0 0,-1-1 0,1 1 0,0 0 0,0-1 0,0 1 0,0-1 0,1 1 0,-1-1 0,1 0 0,0 1 0,2 1 0,-1-1 0,0-1 0,0 0 0,0 0 0,0-1 0,1 1 0,-1-1 0,0 1 0,6 0 0,-5 0 0,0-1 0,0 1 0,-1 0 0,1 0 0,-1 0 0,1 1 0,-1-1 0,0 1 0,4 4 0,25 31 0,-18-20 0,-8-10 0,6 8 0,1-2 0,17 17 0,-25-27 0,1 0 0,-1 0 0,1 0 0,-1-1 0,1 0 0,0 0 0,1 0 0,-1-1 0,0 0 0,8 1 0,6 1 0,-1-2 0,0-1 0,1 0 0,25-3 0,-43 2 0,-1-1 0,1 1 0,-1-1 0,0 1 0,1-1 0,-1 1 0,0-1 0,0 0 0,1 1 0,-1-1 0,0 0 0,0 0 0,0 0 0,0 0 0,0 0 0,0 0 0,0 0 0,-1-1 0,1 1 0,0 0 0,0 0 0,-1-1 0,1 1 0,-1 0 0,1-1 0,-1 1 0,0-1 0,0 1 0,1-2 0,0-6 0,0 0 0,-1 0 0,0-14 0,-1 15 0,0-21 0,-3-1 0,0 1 0,-1 0 0,-17-48 0,-54-104 0,74 176 0,-1-1 0,0 1 0,0 0 0,0 0 0,-1 0 0,-4-5 0,5 8 0,1 0 0,-1 0 0,0 0 0,1 0 0,-1 0 0,0 1 0,0 0 0,0-1 0,0 1 0,0 0 0,-1 0 0,-4 0 0,-13-2 0,12 2 0,0 0 0,1 0 0,-1-1 0,-9-4 0,11 4 0,0-1 0,0 1 0,-1 1 0,1-1 0,-1 1 0,1 1 0,-1-1 0,1 1 0,-1 0 0,1 1 0,-1 0 0,1 0 0,-8 3 0,2 0 0,0 1 0,0 0 0,0 1 0,1 1 0,0 0 0,-12 9 0,17-8 0,7-8 0,-1 0 0,1 0 0,0 1 0,0-1 0,0 0 0,0 0 0,0 0 0,0 0 0,0 1 0,0-1 0,0 0 0,0 0 0,0 0 0,0 0 0,0 1 0,0-1 0,0 0 0,0 0 0,0 0 0,1 0 0,-1 1 0,0-1 0,0 0 0,0 0 0,0 0 0,0 0 0,0 0 0,0 0 0,0 1 0,0-1 0,1 0 0,-1 0 0,2 1 0,-1-1 0,1 1 0,0-1 0,0 1 0,-1-1 0,1 0 0,0 1 0,0-1 0,3-1 0,28 0 0,60-11 0,35-16 0,-118 25 0,50-13 0,-38 10 0,0 0 0,1 1 0,-1 1 0,38-2 0,-25 7 0,51-2 0,-73 0 0,0-1 0,0 0 0,-1-1 0,22-7 0,70-23-1365,-81 26-5461</inkml:trace>
  <inkml:trace contextRef="#ctx0" brushRef="#br0" timeOffset="1308.08">759 655 24575,'9'18'0,"33"92"0,-41-103 0,1 0 0,-1 0 0,0 0 0,-1 0 0,0 0 0,-1 9 0,1 1 0,1-44 0,6-39 0,-1 24 0,13-145 0,-18 180 0,0 0 0,0 0 0,1 1 0,0-1 0,0 0 0,1 1 0,0 0 0,0 0 0,0 0 0,1 0 0,0 0 0,0 0 0,9-9 0,-13 15 0,1-1 0,-1 1 0,0 0 0,1-1 0,-1 1 0,1 0 0,-1 0 0,1-1 0,-1 1 0,0 0 0,1 0 0,-1 0 0,1-1 0,-1 1 0,1 0 0,-1 0 0,1 0 0,-1 0 0,1 0 0,-1 0 0,1 0 0,0 0 0,-1 0 0,1 0 0,-1 0 0,1 1 0,-1-1 0,0 0 0,1 0 0,-1 0 0,1 1 0,-1-1 0,1 0 0,-1 0 0,1 1 0,-1-1 0,0 0 0,1 1 0,-1-1 0,0 1 0,1-1 0,-1 0 0,1 2 0,10 23 0,-10-22 0,43 141 0,-37-117 0,-6-23 0,1 0 0,0 1 0,0-1 0,0 0 0,1 0 0,-1-1 0,7 7 0,-7-7 0,1 0 0,-1 0 0,1 1 0,-1-1 0,0 0 0,0 1 0,-1-1 0,1 1 0,-1 0 0,2 6 0,6 96-1365,-8-93-5461</inkml:trace>
  <inkml:trace contextRef="#ctx0" brushRef="#br0" timeOffset="2182.09">780 612 24575,'-1'0'0,"-4"0"0,-1 0 0,1 2 0,7 0 0,12 1 0,6-2 0,6 1 0,0-1 0,-3-1 0,-3 0 0,-1 0 0,-2 0 0,-2 0 0,-4 0-8191</inkml:trace>
  <inkml:trace contextRef="#ctx0" brushRef="#br0" timeOffset="2994.61">1387 524 24575,'2'0'0,"2"0"0,3 0 0,5 0 0,5 0 0,9-2 0,7-1 0,6 0 0,2 0 0,-3-1 0,-4 0 0,-5 2 0,-8 1-8191</inkml:trace>
  <inkml:trace contextRef="#ctx0" brushRef="#br0" timeOffset="3831.92">1442 623 24575,'366'0'-1365,"-357"0"-5461</inkml:trace>
  <inkml:trace contextRef="#ctx0" brushRef="#br0" timeOffset="5470.3">2357 314 24575,'-1'0'0,"0"0"0,0 0 0,0 0 0,0 1 0,0-1 0,0 0 0,0 1 0,0-1 0,0 1 0,0-1 0,0 1 0,0-1 0,0 1 0,1 0 0,-1 0 0,0-1 0,-1 3 0,-10 15 0,10-14 0,-10 19 0,2 0 0,0 1 0,2 0 0,0 1 0,2-1 0,1 1 0,-3 31 0,7-52 0,1 1 0,0 0 0,0 0 0,0 0 0,0-1 0,1 1 0,0 0 0,0 0 0,0-1 0,0 1 0,1 0 0,0-1 0,3 7 0,-3-8 0,1 0 0,-1-1 0,0 1 0,1-1 0,0 1 0,0-1 0,-1 0 0,1 0 0,0 0 0,1 0 0,-1-1 0,0 1 0,0-1 0,1 0 0,-1 0 0,1 0 0,-1 0 0,7 0 0,2 0 0,0 0 0,-1-1 0,1-1 0,-1 0 0,1 0 0,-1-1 0,19-6 0,-21 5 0,-1 0 0,0 0 0,0-1 0,-1 0 0,1 0 0,-1-1 0,0 0 0,0 0 0,-1-1 0,1 0 0,4-6 0,-9 9 0,0 1 0,-1-1 0,1 0 0,-1 1 0,0-1 0,0 0 0,0 0 0,0 0 0,-1 0 0,1 0 0,-1 0 0,0-5 0,-3-41 0,0 22 0,3 13 0,0 8 0,0 0 0,0 1 0,-1-1 0,1 0 0,-1 0 0,-1 1 0,1-1 0,-1 1 0,-3-7 0,-1 1 0,0 0 0,-1 1 0,0 0 0,-1 0 0,0 1 0,-14-12 0,16 16 0,0 0 0,-1 0 0,0 1 0,0 0 0,0 0 0,-1 0 0,0 1 0,1 0 0,-1 1 0,-14-3 0,5 3 0,14 2 0,-1 0 0,1 0 0,0 0 0,-1-1 0,1 0 0,0 1 0,-4-3 0,7 3 0,0 0 0,0 0 0,0 0 0,-1 0 0,1 0 0,0 0 0,0 0 0,0-1 0,0 1 0,0 0 0,-1 0 0,1 0 0,0 0 0,0-1 0,0 1 0,0 0 0,0 0 0,0 0 0,0 0 0,0-1 0,0 1 0,0 0 0,0 0 0,0 0 0,0-1 0,0 1 0,0 0 0,0 0 0,0 0 0,0-1 0,0 1 0,0 0 0,0 0 0,0 0 0,0 0 0,0-1 0,0 1 0,1 0 0,-1 0 0,0 0 0,0 0 0,0-1 0,0 1 0,0 0 0,1 0 0,7-8 0,-7 8 0,126-87 0,-49 37 0,-49 30 0,-7 6 0,40-34 0,-62 48-24,11-12 171,-11 12-179,0 0 1,0 0-1,0 0 0,1-1 1,-1 1-1,0 0 0,0 0 1,0 0-1,0-1 0,1 1 1,-1 0-1,0 0 0,0 0 1,0-1-1,0 1 0,0 0 1,0 0-1,0-1 0,0 1 1,0 0-1,0 0 1,0-1-1,0 1 0,0 0 1,0 0-1,0-1 0,0 1 1,0 0-1,0 0 0,0-1 1,0 1-1,0 0 0,0 0 1,-1 0-1,1-1 0,0 1 1,0 0-1,0 0 0,0 0 1,0-1-1,-1 1 0,1 0 1,0 0-1,0 0 0,0 0 1,-1-1-1,-9 0-6794</inkml:trace>
  <inkml:trace contextRef="#ctx0" brushRef="#br0" timeOffset="7785.95">2721 667 24575,'7'8'0,"-1"0"0,0 1 0,0 0 0,-1 0 0,5 10 0,-3-3 0,-1 0 0,-1 0 0,0 0 0,5 34 0,-6-18 0,-1 55 0,-3-84 0,-3 23 0,3-26 0,0 0 0,0 1 0,0-1 0,0 0 0,0 1 0,0-1 0,0 0 0,0 1 0,0-1 0,-1 0 0,1 0 0,0 1 0,0-1 0,0 0 0,-1 1 0,1-1 0,0 0 0,0 0 0,-1 1 0,1-1 0,0 0 0,0 0 0,-1 0 0,1 0 0,0 1 0,-1-1 0,1 0 0,0 0 0,-1 0 0,1 0 0,0 0 0,-1 0 0,1 0 0,0 0 0,-1 0 0,1 0 0,0 0 0,-1 0 0,1 0 0,0 0 0,-1 0 0,1 0 0,0 0 0,-1 0 0,1 0 0,0-1 0,-1 1 0,1 0 0,0 0 0,0 0 0,-1-1 0,1 1 0,0 0 0,0 0 0,-1-1 0,1 1 0,0 0 0,0 0 0,-1-1 0,-3-4 0,-1 0 0,1 0 0,0-1 0,0 1 0,1-1 0,-1 0 0,-2-7 0,-17-48 0,15 35 0,2 5 0,1 0 0,1 0 0,1 0 0,1 0 0,1 0 0,2-27 0,-2 46 0,1 1 0,1-1 0,-1 0 0,0 0 0,0 0 0,1 1 0,-1-1 0,1 0 0,-1 0 0,1 1 0,0-1 0,-1 0 0,1 1 0,0-1 0,0 1 0,0-1 0,3-1 0,-3 2 0,0 1 0,-1-1 0,1 1 0,0 0 0,0-1 0,0 1 0,0 0 0,1 0 0,-1 0 0,0 0 0,0 0 0,0 0 0,0 0 0,0 0 0,0 0 0,0 0 0,0 1 0,0-1 0,0 0 0,0 1 0,0-1 0,0 0 0,0 1 0,-1 0 0,1-1 0,0 1 0,0-1 0,0 1 0,-1 0 0,1 0 0,1 1 0,10 10 0,17 23 0,0-2 0,-26-28 0,1 0 0,-1 0 0,0 0 0,0 0 0,0 1 0,-1-1 0,0 1 0,0-1 0,0 1 0,-1 0 0,2 11 0,-1 8 0,-1 38 0,-2-36 0,-1 105 0,2-206 0,3-85 0,-1 130 0,2-1 0,0 1 0,13-40 0,-15 61 0,1 1 0,0 0 0,5-10 0,-7 15 0,0 0 0,0 1 0,0-1 0,1 0 0,-1 1 0,1-1 0,-1 1 0,1-1 0,-1 1 0,1-1 0,0 1 0,0 0 0,-1 0 0,1 0 0,0 0 0,4-1 0,-5 2 0,0 0 0,0 0 0,0 0 0,0 0 0,-1 0 0,1 0 0,0 0 0,0 0 0,0 0 0,0 1 0,-1-1 0,1 0 0,0 1 0,0-1 0,0 0 0,-1 1 0,1-1 0,0 1 0,-1-1 0,1 1 0,0 0 0,-1-1 0,1 1 0,-1-1 0,1 1 0,-1 0 0,1 0 0,0 0 0,9 26 0,-10-25 0,8 26 0,-3 0 0,0 1 0,0 29 0,-1 91 0,-4-118 0,-2 14 0,1-29 0,1 1 0,0 0 0,1-1 0,5 29 0,-6-43-62,1 0 0,-1-1 0,0 0 0,1 1 0,-1-1 0,1 1 0,0-1 0,-1 1 0,1-1 0,0 0 0,0 0 0,0 1-1,0-1 1,0 0 0,0 0 0,0 0 0,0 0 0,0 0 0,1 0 0,-1 0 0,2 0 0,7 2-6764</inkml:trace>
  <inkml:trace contextRef="#ctx0" brushRef="#br0" timeOffset="8281.13">3151 501 24575,'2'0'0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22:58:49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4599 1255 24575,'0'0'0,"0"-1"0,1 1 0,-1-1 0,0 1 0,1-1 0,-1 1 0,0-1 0,1 1 0,-1 0 0,1-1 0,-1 1 0,0 0 0,1-1 0,-1 1 0,1 0 0,-1 0 0,1 0 0,-1-1 0,1 1 0,-1 0 0,1 0 0,0 0 0,-1 0 0,1 0 0,16-3 0,-15 3 0,0 0 0,0 0 0,0 1 0,0-1 0,0 0 0,1 1 0,-1-1 0,0 1 0,0-1 0,0 1 0,-1 0 0,1 0 0,0 0 0,0 0 0,0 1 0,-1-1 0,1 0 0,0 1 0,-1-1 0,1 1 0,-1-1 0,0 1 0,0 0 0,1-1 0,-1 1 0,0 0 0,1 3 0,3 6 0,-1 0 0,-1 0 0,5 17 0,-8-27 0,16 106 0,-11-68 0,-5-37 0,1 0 0,-1 1 0,1-1 0,-1 0 0,1 0 0,0 1 0,0-1 0,0 0 0,3 4 0,-4-6 0,0 0 0,0 0 0,0 0 0,0 1 0,1-1 0,-1 0 0,0 0 0,0 0 0,0 0 0,1 1 0,-1-1 0,0 0 0,0 0 0,1 0 0,-1 0 0,0 0 0,0 0 0,1 0 0,-1 0 0,0 0 0,0 0 0,1 0 0,-1 0 0,0 0 0,0 0 0,1 0 0,-1 0 0,0 0 0,0 0 0,1 0 0,-1 0 0,1-1 0,0 0 0,-1 1 0,1-1 0,0 0 0,-1 0 0,1 0 0,0 0 0,-1 1 0,1-1 0,-1 0 0,0 0 0,1-2 0,3-12 0,0 0 0,-2 0 0,0 0 0,0-1 0,-1 1 0,-3-27 0,2-27 0,32-136 0,-21 152 0,-1-1 0,3-103 0,-18 124 0,3 26 0,0 1 0,1-1 0,1 0 0,-1 0 0,1-11 0,0 16 0,1 0 0,-1 1 0,1-1 0,-1 0 0,1 1 0,0-1 0,-1 0 0,1 1 0,0-1 0,0 1 0,0-1 0,0 1 0,0-1 0,1 1 0,-1 0 0,0 0 0,1-1 0,-1 1 0,1 0 0,-1 0 0,1 1 0,-1-1 0,1 0 0,0 0 0,-1 1 0,4-1 0,6-2 0,0 1 0,0 0 0,0 1 0,18 0 0,45 5 0,-63-3 0,1 0 0,-1 1 0,-1 1 0,1-1 0,0 2 0,0-1 0,-1 2 0,0-1 0,10 7 0,-17-9 0,1-1 0,0 1 0,0-1 0,-1 0 0,1 0 0,0 0 0,0 0 0,8 0 0,35-2 0,-26 0 0,26 0 0,101 2 0,-146-1-105,1 0 0,-1 0 0,1 0 0,-1 1 0,1-1 0,-1 1 0,1-1 0,-1 1 0,0 0 0,1 0 0,-1 0 0,3 3 0,5 5-6721</inkml:trace>
  <inkml:trace contextRef="#ctx0" brushRef="#br0" timeOffset="1536.91">5183 1178 24575,'1'0'0,"1"0"0,-1 0 0,1 0 0,-1 0 0,1 1 0,-1-1 0,1 0 0,-1 1 0,1-1 0,-1 0 0,0 1 0,1 0 0,-1-1 0,0 1 0,1 0 0,-1 0 0,0 0 0,0 0 0,0 0 0,0 0 0,0 0 0,0 0 0,0 0 0,0 0 0,0 1 0,0-1 0,-1 0 0,1 1 0,0-1 0,-1 0 0,0 1 0,1-1 0,-1 1 0,1 1 0,2 13 0,-1-1 0,0 0 0,-1 0 0,-2 17 0,2 3 0,-2-34 0,1 0 0,0 0 0,0 1 0,0-1 0,0 0 0,1 0 0,-1 0 0,0 0 0,0 0 0,1 0 0,-1 0 0,0 0 0,1 0 0,-1 0 0,1 0 0,-1 0 0,1 0 0,1 1 0,-2-2 0,1 0 0,-1 0 0,1 0 0,-1 0 0,1 0 0,0 0 0,-1 0 0,1 0 0,-1 0 0,1 0 0,-1 0 0,1 0 0,-1 0 0,1 0 0,-1-1 0,1 1 0,-1 0 0,0 0 0,1-1 0,-1 1 0,1 0 0,-1-1 0,0 1 0,1-1 0,0 0 0,4-4 0,0-1 0,-1 0 0,8-12 0,0-5 0,12-35 0,-16 38 0,0 0 0,2 1 0,12-21 0,-21 38 0,0 1 0,0 0 0,0 0 0,0 0 0,0-1 0,0 1 0,0 0 0,0 0 0,0 0 0,0 0 0,1 1 0,-1-1 0,0 0 0,1 1 0,-1-1 0,1 0 0,2 0 0,-3 1 0,0 0 0,0 1 0,0-1 0,0 0 0,0 0 0,-1 1 0,1-1 0,0 1 0,0-1 0,0 1 0,0-1 0,0 1 0,0-1 0,-1 1 0,1 0 0,0-1 0,0 1 0,-1 0 0,1 0 0,-1-1 0,1 1 0,-1 0 0,1 0 0,-1 0 0,1 0 0,-1 0 0,1 1 0,4 12 0,0 0 0,-1 0 0,0 1 0,2 15 0,2 62 0,-5-55 0,8 43 0,-11-77-62,0-1 0,1 1 0,0 0 0,-1-1 0,1 1 0,0 0 0,0-1 0,1 1 0,-1-1 0,1 1 0,-1-1 0,1 0 0,0 0-1,-1 0 1,1 0 0,0 0 0,1 0 0,-1 0 0,0 0 0,0-1 0,4 2 0,5 1-6764</inkml:trace>
  <inkml:trace contextRef="#ctx0" brushRef="#br0" timeOffset="5739.16">4620 2611 24575,'47'1'0,"89"16"0,-105-13 0,-1-2 0,1-1 0,44-4 0,-59 1 0,1-1 0,-1 0 0,0-1 0,0-1 0,0-1 0,0 0 0,-1-1 0,16-10 0,-3 0 0,0-2 0,-2 0 0,28-27 0,-33 25 0,0 0 0,-1-1 0,19-29 0,-29 36 0,-1 0 0,-1 0 0,0-1 0,-1 0 0,0 0 0,7-29 0,-12 32 0,-1 1 0,0-1 0,-1 0 0,-2-18 0,0-16 0,35-255 0,-4 68 0,-29 222 0,0 8 0,0 0 0,1-1 0,-1 1 0,1 0 0,1-5 0,-2 9 0,0 0 0,0 0 0,0-1 0,1 1 0,-1 0 0,0 0 0,0 0 0,0 0 0,0 0 0,0 0 0,0-1 0,0 1 0,0 0 0,0 0 0,1 0 0,-1 0 0,0 0 0,0 0 0,0 0 0,0 0 0,0 0 0,0 0 0,1 0 0,-1 0 0,0 0 0,0-1 0,0 1 0,0 0 0,0 0 0,1 0 0,-1 0 0,0 0 0,0 0 0,0 1 0,0-1 0,0 0 0,0 0 0,1 0 0,-1 0 0,0 0 0,0 0 0,0 0 0,0 0 0,0 0 0,0 0 0,1 0 0,-1 0 0,0 0 0,0 1 0,0-1 0,0 0 0,0 0 0,0 0 0,7 8 0,-6-6 0,18 26 0,-4-5 0,23 27 0,-31-44 0,-1 1 0,0-1 0,1 0 0,0-1 0,1 1 0,-1-2 0,1 1 0,9 4 0,8 1 0,-8-1 0,1-2 0,0 0 0,29 6 0,-38-12 0,0 0 0,0 0 0,0 0 0,-1-2 0,1 1 0,0-1 0,0 0 0,-1 0 0,1-1 0,0-1 0,-1 1 0,0-1 0,0-1 0,0 0 0,0 0 0,0 0 0,-1-1 0,1 0 0,-1 0 0,-1-1 0,1 0 0,-1 0 0,0-1 0,0 0 0,-1 0 0,0 0 0,6-11 0,-2 0 0,-1-1 0,0 0 0,-1 0 0,-2 0 0,0-1 0,5-37 0,-5 4 0,-4-75 0,-4 70 0,-3 0 0,-25-111 0,8 87 0,-45-109 0,58 167 0,-1 0 0,-1 1 0,-1 0 0,-2 1 0,-24-30 0,21 30 0,8 10 0,0 0 0,-16-13 0,22 21 0,-1 0 0,-1 0 0,1 1 0,0 0 0,-1 0 0,0 1 0,1-1 0,-1 1 0,-7-1 0,-11-3 0,-1 0 0,1 0 0,-1 2 0,-33-1 0,-20 9 0,60-1 0,0-2 0,0 0 0,0-1 0,0-1 0,0 0 0,-22-6 0,-100-42 0,59 18 0,54 22 0,-1 1 0,0 1 0,-1 1 0,1 2 0,-45-2 0,54 6 0,-1 1 0,0 1 0,0 0 0,1 2 0,-1 0 0,1 2 0,0 0 0,-33 15 0,38-13 0,12-6 0,-1 0 0,0-1 0,0 1 0,0-1 0,1 1 0,-1-1 0,-1 0 0,1 0 0,0-1 0,0 1 0,0 0 0,0-1 0,-1 0 0,1 0 0,0 0 0,-6-1 0,0-2 0,0-1 0,1 0 0,-1 0 0,1-1 0,-11-7 0,6 3 0,-11-6 0,-143-87 0,132 83 0,-1 1 0,-73-23 0,98 37 0,-1 2 0,1-1 0,-1 1 0,-13 0 0,18 2 0,0 0 0,0 1 0,1 0 0,-1 0 0,1 0 0,-1 1 0,1 0 0,-10 4 0,-8 7 0,1 1 0,-31 24 0,19-13 0,23-16 0,9-6 0,0-1 0,-1 1 0,1-1 0,-1 0 0,1 0 0,-1 0 0,0 0 0,1-1 0,-1 0 0,0 1 0,0-1 0,0-1 0,0 1 0,-4 0 0,-788 14 0,654-6 0,-194 14 0,326-23 0,0 1 0,0 0 0,-1 1 0,1 0 0,0 1 0,0 0 0,-12 6 0,17-7 0,1-1 0,-1 1 0,0-1 0,0 0 0,0 0 0,0 0 0,-8 0 0,-38-3 0,28 0 0,-594-71-549,388 41 359,52 12 190,168 19 71,1 0 1,-1-1-1,-9-3 1,-9-2 258,-23-4-235,-410-89-1080,-5 31 496,457 68 489,-13-2 0,0 2 0,0 0 0,0 1 0,0 1 0,-27 4 0,45-4-1,-1 0 0,1 1 0,-1-1 0,1 0 0,-1 1 0,1 0 0,0 0 0,0 0 1,0 0-1,0 1 0,0-1 0,0 1 0,1 0 0,-1 0 0,1 0 0,0 0 1,0 0-1,0 0 0,0 0 0,0 1 0,-1 5 0,-1 5 43,0-1-1,1 1 1,1 0-1,-1 20 1,2-26 20,-13 509 1190,14-508-1252,-1 14 0,2 0 0,1 0 0,7 35 0,-8-52 0,1-1 0,-1 0 0,1 0 0,0 0 0,0 0 0,0 0 0,1-1 0,0 1 0,0-1 0,0 1 0,0-1 0,1 0 0,0 0 0,-1-1 0,1 1 0,1-1 0,-1 0 0,0 0 0,1 0 0,0-1 0,5 3 0,-6-4 0,-1 1 0,1-1 0,0 0 0,-1 1 0,1 0 0,-1 0 0,5 3 0,-6-4 0,-1 1 0,0-1 0,0 0 0,0 1 0,0-1 0,0 1 0,-1-1 0,1 1 0,0-1 0,-1 1 0,1-1 0,-1 1 0,1 0 0,-1-1 0,0 1 0,0 0 0,0-1 0,0 4 0,-2 17 0,0 0 0,-2 0 0,-11 37 0,-2 7 0,8-23 0,-1 0 0,3 1 0,-3 48 0,10-87 0,0 0 0,0 0 0,0 0 0,1 0 0,0 0 0,0 0 0,0 0 0,4 9 0,-3-11 0,0 0 0,0 0 0,0 0 0,0 0 0,0-1 0,0 1 0,1-1 0,-1 1 0,1-1 0,0 0 0,0 0 0,0 0 0,5 2 0,3 1 0,0-1 0,0 0 0,0-1 0,1 0 0,14 2 0,62 1 0,-75-5 0,330-2 0,-334 1 0,-2-1 0,0 1 0,0 0 0,0 0 0,8 2 0,-13-1 0,-1-1 0,0 0 0,0 0 0,0 1 0,0-1 0,0 0 0,0 1 0,0 0 0,0-1 0,0 1 0,0-1 0,0 1 0,0 0 0,0 0 0,0-1 0,0 1 0,-1 0 0,1 0 0,0 0 0,-1 0 0,1 0 0,-1 0 0,1 0 0,-1 0 0,1 0 0,-1 0 0,0 1 0,1-1 0,-1 0 0,0 0 0,0 2 0,0 3 0,0-3 0,0-1 0,0 0 0,0 1 0,0-1 0,1 0 0,-1 0 0,0 1 0,1-1 0,1 3 0,-1-3 0,0-1 0,1 1 0,-1-1 0,0 0 0,1 1 0,-1-1 0,1 0 0,-1 0 0,1 0 0,0 0 0,0-1 0,-1 1 0,1 0 0,0-1 0,2 1 0,116 28 0,-113-27 0,257 48-267,280 66-519,-520-110 786,-1 1 0,25 12 0,-39-15 0,-1 1 0,0 0 0,1 0 0,-2 1 0,1 0 0,-1 0 0,13 15 0,18 21 76,2-3 0,1-1 0,66 46 0,149 77 36,133 30-272,14-31 192,-54-56 604,-223-70-649,384 91-698,-496-123 853,0 0 0,0-1 1,0-1-1,1 0 0,17-3 0,-20 2-142,0-1 0,0 0 0,23-7 0,-29 6 0,0 1 0,-1-1 0,1-1 0,-1 1 0,1-1 0,-1 0 0,0 0 0,0 0 0,4-7 0,53-63 0,-43 48 0,0 2 0,2 0 0,1 2 0,28-23 0,-47 43-80,1-1 0,0 1-1,-1-1 1,1 1 0,0 0-1,0 0 1,1 1 0,-1-1-1,0 1 1,0 0 0,1 0 0,-1 1-1,1-1 1,-1 1 0,1 0-1,4 0 1,0 2-6746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23:42:50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1745 24575,'23'-2'0,"1"-1"0,-1-1 0,0-1 0,0-1 0,27-11 0,13-3 0,121-18 0,-41 10 0,-107 19 0,65-26 0,91-29 0,-22 8 0,-142 45 0,-1-1 0,0-2 0,48-33 0,-17 1 0,79-84 0,-106 99 0,-21 21 0,-1-1 0,0 0 0,0 0 0,8-16 0,1 1 0,1 0 0,1 2 0,31-30 0,18-21 0,-58 61 0,0-1 0,0 0 0,12-26 0,-10 8 0,-1 1 0,-1-1 0,-2-1 0,8-56 0,-14 56 0,-1-1 0,-4-59 0,1 87 0,0 0 0,0 0 0,-1 0 0,0 0 0,-1 0 0,0 0 0,0 1 0,0-1 0,-5-6 0,-7-9 0,-19-23 0,24 33 0,3 4 0,0 1 0,0 0 0,-1 0 0,0 0 0,-1 1 0,-17-10 0,-1 2 0,-30-10 0,22 10 0,-190-74 0,198 79 0,-41-7 0,19 5 0,-3-1 0,0 3 0,-1 2 0,1 2 0,-91 4 0,120 2 0,-1 1 0,1 1 0,0 0 0,-33 11 0,46-11 0,1 1 0,-1 0 0,1 1 0,-1-1 0,1 2 0,0 0 0,1 0 0,0 0 0,0 1 0,0 0 0,1 1 0,-9 10 0,3 1 0,1 0 0,1 0 0,1 1 0,1 1 0,-8 24 0,-24 110 0,40-151 0,-15 71 0,-9 151 0,23 78 0,3-279 0,2 0 0,0 0 0,1 1 0,12 36 0,-10-46 0,0-1 0,0 0 0,2 0 0,0-1 0,0 0 0,1 0 0,1-1 0,13 14 0,23 23 0,94 91 0,-117-121 0,1 0 0,0-2 0,2-1 0,41 21 0,17-3 0,168 45 0,-45-17 0,42 39 0,58 19 0,-207-94 0,196 29 0,108-17 0,-381-37 0,69 3 0,1-3 0,146-16 0,-224 12-455,1-1 0,17-5 0,-15 1-6371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23:42:53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 0 24575,'-1'20'0,"-2"0"0,0-1 0,-7 28 0,-1-2 0,-13 86 0,5 0 0,-2 139 0,21-243 0,0-1 0,2 1 0,9 51 0,-9-69 0,1-1 0,0 1 0,0-1 0,1 0 0,0 0 0,9 13 0,-10-16 0,1-1 0,0 1 0,1-1 0,-1 1 0,1-1 0,0-1 0,0 1 0,0-1 0,0 1 0,11 3 0,-5-3 0,0-1 0,1 0 0,-1-1 0,17 1 0,-11-1 0,61 5 0,0-3 0,0-3 0,97-13 0,-164 11 0,-1 0 0,0-1 0,0 0 0,1-1 0,13-6 0,-19 7 0,-1-1 0,1 0 0,-1 0 0,1 0 0,-1 0 0,0-1 0,0 0 0,-1 1 0,1-1 0,-1-1 0,0 1 0,4-7 0,12-21 0,-2-1 0,-2-1 0,-1 0 0,-1-1 0,-2 0 0,-2-1 0,-1 0 0,-1 0 0,-3-1 0,1-50 0,-5 55 0,-4-72 0,3 92 0,-1 0 0,-1 1 0,0-1 0,0 1 0,-1 0 0,-10-19 0,4 13 0,0-1 0,-2 1 0,0 1 0,-1 0 0,-1 1 0,0 1 0,-28-23 0,30 29 0,0-1 0,-1 2 0,0-1 0,0 2 0,-1 0 0,1 0 0,-1 2 0,0-1 0,-1 2 0,1 0 0,-23-2 0,4 4 0,1 1 0,-1 1 0,0 2 0,1 1 0,-33 9 0,44-7 0,0 0 0,0 2 0,1 0 0,1 1 0,-1 1 0,2 1 0,-1 1 0,-26 22 0,38-28 0,0 0 0,0 1 0,0-1 0,1 2 0,0-1 0,1 1 0,0 0 0,0 0 0,0 0 0,1 0 0,0 1 0,1 0 0,0 0 0,0 0 0,1 0 0,0 1 0,1-1 0,0 0 0,1 1 0,-1-1 0,2 11 0,1-4 0,0-1 0,0 1 0,1-1 0,8 21 0,-9-30 0,0-1 0,1 1 0,0-1 0,-1 0 0,2 0 0,-1-1 0,1 1 0,-1 0 0,1-1 0,0 0 0,1 0 0,-1 0 0,1-1 0,0 1 0,7 3 0,12 3 0,0 0 0,1-2 0,0 0 0,36 5 0,107 8 0,-151-20 0,73 8 0,0-5 0,124-9 0,-175 1 0,0-2 0,-1-1 0,0-2 0,-1-1 0,1-3 0,-2 0 0,0-3 0,37-21 0,-49 23 0,-1-1 0,0-1 0,-1-1 0,22-22 0,-37 31 0,1 0 0,-1-1 0,0 0 0,-1 0 0,0-1 0,0 1 0,-1-1 0,-1-1 0,1 1 0,-2-1 0,1 1 0,-2-1 0,3-12 0,-2-17 0,-2 0 0,-6-66 0,2 93 0,3 13 0,0 0 0,-1 0 0,1 0 0,0 0 0,0 0 0,0 0 0,0 0 0,0 0 0,0 0 0,0-1 0,0 1 0,0 0 0,-1 0 0,1 0 0,0 0 0,0 0 0,0 0 0,0 0 0,0 0 0,0 0 0,0 0 0,-1 0 0,1 0 0,0 0 0,0 0 0,0 0 0,0 0 0,0 0 0,0 0 0,0 0 0,-1 0 0,1 0 0,0 0 0,0 0 0,0 1 0,0-1 0,0 0 0,0 0 0,0 0 0,0 0 0,-1 0 0,1 0 0,0 0 0,0 0 0,0 0 0,0 1 0,-2 1 0,1 1 0,-1-1 0,1 1 0,0-1 0,0 1 0,-2 5 0,-17 70 0,4 1 0,-12 141 0,18 168 0,11-360 0,0 0 0,1 0 0,2 0 0,1-1 0,10 32 0,-13-54 0,1 1 0,-1-1 0,1 0 0,0 0 0,1-1 0,-1 1 0,1-1 0,0 1 0,0-1 0,1 0 0,-1-1 0,9 6 0,2 1 0,1-2 0,29 13 0,-17-10 0,1 0 0,0-2 0,1-1 0,0-2 0,0 0 0,0-2 0,1-2 0,48-1 0,-72-2 0,0 0 0,-1-1 0,1 1 0,-1-1 0,1-1 0,-1 1 0,0-1 0,0 0 0,0 0 0,-1-1 0,1 0 0,-1 0 0,0 0 0,0-1 0,0 0 0,0 1 0,-1-2 0,6-7 0,4-9 0,-1 0 0,-1-2 0,13-33 0,-20 45 0,34-80 0,29-69 0,-52 117 0,17-80 0,-22 57 0,-4-1 0,-2-117 0,-6 73 0,15 331 0,-2-53 0,-8-84 0,17 292 0,-20-355 0,9 70 0,-7-74 0,0 1 0,1-1 0,8 22 0,-9-31 0,0 0 0,0-1 0,0 1 0,1-1 0,0 0 0,0 0 0,1 0 0,-1 0 0,1-1 0,0 0 0,0 0 0,0 0 0,1 0 0,-1-1 0,1 0 0,0 0 0,0-1 0,0 1 0,9 1 0,8 1 0,1-1 0,0-1 0,44 0 0,-57-3 0,193-1 120,-145-2-863,85-17 1,-122 15-6084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23:43:06.66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0 745,'2'0,"-1"-1,0 1,1 0,-1-1,1 1,-1-1,0 0,1 0,-1 1,0-1,0 0,0 0,0 0,0 0,0 0,0 0,0-1,0 1,0 0,-1 0,1-1,1-1,11-34,-13 35,8-28,4-54,-7 41,3-57,-2 12,-3 71,0 0,1 1,0-1,2 1,11-26,-9 25,-7 13,0-1,1 1,0 0,0 0,0 1,1-1,-1 0,1 1,0-1,0 1,6-6,29-18,-22 14,1 1,1 1,-1 0,2 2,22-10,-4 8,0 2,0 1,1 2,0 2,64 0,-15 3,79 2,-160 0,0 0,1 0,-1 0,0 1,-1 0,1 0,0 1,0 0,4 3,7 4,22 21,-14-11,14 16,-31-27,1 0,1-1,18 14,-13-11,0 0,-1 1,0 1,-1 0,22 30,-24-27,-1 0,14 31,-20-35,0-1,-1 1,-1 0,0 0,-1 1,0-1,-1 15,1-17,9 127,-10 311,-1-213,7-172,-1 2,-5-57,1 17,2-22,-1-5</inkml:trace>
  <inkml:trace contextRef="#ctx0" brushRef="#br0" timeOffset="1737.92">275 969,'0'0,"0"-2,0 2,0 5,0 9,0 4,0 4,0 0,0 0,0-2,0-3,0-1,0-1,0-2,0-1,0-3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23:43:10.92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12 8,'1'-1,"-1"1,0 0,0 0,0 0,0-1,0 1,0 0,0 0,0 0,0-1,0 1,0 0,0 0,0 0,0-1,0 1,0 0,0 0,0 0,0-1,0 1,0 0,0 0,0 0,-1-1,1 1,0 0,0 0,0 0,0 0,0 0,-1-1,1 1,0 0,0 0,0 0,0 0,-1 0,1 0,0 0,0 0,0-1,-1 1,1 0,0 0,0 0,-1 0,1 1,0-1,-1 0,1 1,-1-1,1 1,0-1,-1 1,1-1,0 0,0 1,-1-1,1 1,0-1,0 1,0 0,0-1,0 1,-1 0,-1 46,2 53,1-32,-1 36,1 116,0-193,7 43,-6-59,1 0,0 0,1 0,0-1,1 1,9 14,-4-8,0 0,1-2,1 1,1-1,25 22,-28-28,1 0,1-2,-1 1,1-1,1-1,-1 0,1-1,0 0,0-1,1 0,13 1,25 2,4 2,98 1,-129-10,0-1,0-2,0-1,0-1,0-1,36-13,-54 14,0 1,0-1,0 0,-1-1,0 0,0 0,0 0,-1-1,5-7,-5 6,0 0,-1 0,0-1,0 0,-1 1,0-1,0 0,1-13,5-75,-6-257,-4 192,1 134,0 15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23:43:17.085"/>
    </inkml:context>
    <inkml:brush xml:id="br0">
      <inkml:brushProperty name="width" value="0.3" units="cm"/>
      <inkml:brushProperty name="height" value="0.6" units="cm"/>
      <inkml:brushProperty name="color" value="#EF0C4D"/>
      <inkml:brushProperty name="tip" value="rectangle"/>
      <inkml:brushProperty name="rasterOp" value="maskPen"/>
      <inkml:brushProperty name="ignorePressure" value="1"/>
    </inkml:brush>
  </inkml:definitions>
  <inkml:trace contextRef="#ctx0" brushRef="#br0">621 326,'-1'3,"1"0,-1-1,1 1,-1 0,0 0,0-1,0 1,0-1,-3 5,-17 22,16-23,-6 8,-2-1,1 0,-2 0,0-2,0 1,-1-2,0 0,-22 10,-287 134,305-147</inkml:trace>
  <inkml:trace contextRef="#ctx0" brushRef="#br0" timeOffset="981.48">0 1,'6'0,"0"0,0 1,1 0,-1 0,0 0,0 1,-1 0,1 0,8 4,-3 1,-1-1,-1 1,19 17,77 76,60 53,-57-61,146 142,-227-206,64 75,-85-94,-2-2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23:43:19.127"/>
    </inkml:context>
    <inkml:brush xml:id="br0">
      <inkml:brushProperty name="width" value="0.3" units="cm"/>
      <inkml:brushProperty name="height" value="0.6" units="cm"/>
      <inkml:brushProperty name="color" value="#EF0C4D"/>
      <inkml:brushProperty name="tip" value="rectangle"/>
      <inkml:brushProperty name="rasterOp" value="maskPen"/>
      <inkml:brushProperty name="ignorePressure" value="1"/>
    </inkml:brush>
  </inkml:definitions>
  <inkml:trace contextRef="#ctx0" brushRef="#br0">1 784,'53'0,"0"-2,-1-3,62-13,-63 8,-1 3,54-1,103 7,-192 1</inkml:trace>
  <inkml:trace contextRef="#ctx0" brushRef="#br0" timeOffset="782.45">204 1,'1'22,"8"42,-1-9,6 170,-6-75,3 199,-10-261,4 81,0 65,-6-215,1-12,-1-1,1 1,0-1,1 1,0-1,0 1,3 11,1-10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23:43:23.140"/>
    </inkml:context>
    <inkml:brush xml:id="br0">
      <inkml:brushProperty name="width" value="0.3" units="cm"/>
      <inkml:brushProperty name="height" value="0.6" units="cm"/>
      <inkml:brushProperty name="color" value="#EF0C4D"/>
      <inkml:brushProperty name="tip" value="rectangle"/>
      <inkml:brushProperty name="rasterOp" value="maskPen"/>
      <inkml:brushProperty name="ignorePressure" value="1"/>
    </inkml:brush>
  </inkml:definitions>
  <inkml:trace contextRef="#ctx0" brushRef="#br0">214 1,'0'2,"-4"5,-6 6,-6 8,-10 10,-5 3,1 1,0-4,5-3,6-7,5-6,6-4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23:52:18.3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92 1 23520,'-92'3704'0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23:52:23.9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764 342 24575,'0'-14'0,"0"7"0,1-21 0,-2 0 0,-1 1 0,-8-41 0,7 58 0,1 1 0,-1 0 0,-1 0 0,0 0 0,0 0 0,-1 1 0,0 0 0,0 0 0,0 0 0,-1 0 0,-1 1 0,1 0 0,-14-11 0,14 13 0,0 1 0,-1-1 0,1 1 0,-1 0 0,0 0 0,0 1 0,0 0 0,0 0 0,-1 1 0,1 0 0,-9-1 0,15 3 0,0 0 0,0 0 0,0 0 0,0 0 0,0 0 0,0 0 0,0 0 0,0 1 0,0-1 0,0 0 0,0 1 0,0-1 0,0 1 0,0-1 0,0 1 0,0-1 0,0 1 0,0 0 0,1-1 0,-2 2 0,1 0 0,-1 0 0,1 0 0,0 0 0,0 0 0,0 0 0,0 0 0,1 1 0,-1-1 0,0 3 0,-1 5 0,1 0 0,1 1 0,0 13 0,0-20 0,1 19 0,1-1 0,1 1 0,1-1 0,1 0 0,1 0 0,0 0 0,2-1 0,1 0 0,0-1 0,2 0 0,20 30 0,-20-36 0,-9-12 0,-5-8 0,-9-8 0,-1 3 0,0 0 0,-1 1 0,0 1 0,-1 0 0,0 1 0,0 0 0,-20-6 0,-10-1 0,-64-13 0,61 18 0,-1 3 0,-1 2 0,1 1 0,-57 5 0,104-1 0,0 0 0,0 0 0,0 0 0,0 1 0,0-1 0,0 1 0,1-1 0,-1 1 0,0-1 0,0 1 0,0 0 0,1 0 0,-1 0 0,1 0 0,-1 0 0,0 1 0,1-1 0,0 0 0,-1 1 0,0 1 0,0 1 0,0-1 0,0 1 0,1 0 0,0-1 0,0 1 0,0 0 0,0 0 0,0 7 0,0-5 0,0 1 0,1-1 0,0 0 0,0 1 0,1-1 0,0 0 0,0 0 0,0 1 0,1-1 0,0 0 0,0 0 0,0 0 0,1-1 0,0 1 0,0-1 0,0 1 0,1-1 0,0 0 0,0 0 0,0 0 0,1-1 0,8 7 0,-1-1 0,1-2 0,0 0 0,1 0 0,0-1 0,23 8 0,78 18 0,-88-26 0,-8-2 0,12 4 0,54 7 0,-75-15 0,-1 0 0,1-1 0,0 0 0,-1-1 0,1 0 0,0-1 0,-1 0 0,0 0 0,1-1 0,8-4 0,32-18 0,-49 24 0,0 1 0,-1 0 0,1-1 0,0 1 0,0 0 0,0 0 0,-1 0 0,1-1 0,0 1 0,0 0 0,0 0 0,0 0 0,0 1 0,-1-1 0,1 0 0,0 0 0,0 0 0,0 0 0,0 1 0,-1-1 0,1 0 0,0 1 0,0-1 0,-1 1 0,1-1 0,0 1 0,-1-1 0,1 1 0,-1 0 0,1-1 0,0 1 0,-1 0 0,1-1 0,-1 1 0,0 0 0,1-1 0,0 3 0,1 2 0,-1 0 0,1 0 0,-1 0 0,1 10 0,-1-14 0,4 70 0,-3 111 0,-3-134 0,1-34 0,0-8 0,0 1 0,0-1 0,-1 0 0,1 0 0,-1 0 0,-1 0 0,-1 6 0,3-11 0,-1 0 0,1 0 0,-1-1 0,1 1 0,-1 0 0,1 0 0,-1 0 0,0-1 0,1 1 0,-1 0 0,0-1 0,0 1 0,0-1 0,1 1 0,-1-1 0,0 1 0,0-1 0,0 1 0,0-1 0,0 0 0,0 1 0,0-1 0,0 0 0,0 0 0,0 0 0,0 0 0,0 0 0,0 0 0,0 0 0,0 0 0,0 0 0,0-1 0,0 1 0,1 0 0,-3-1 0,-2-1 0,0 0 0,1-1 0,-1 1 0,1-1 0,-7-4 0,-20-19 0,1-2 0,-27-32 0,55 59 0,-1-2 0,1 0 0,-1 1 0,1-1 0,0 0 0,0 0 0,0 1 0,-2-5 0,4 6 0,0 1 0,0-1 0,0 1 0,-1-1 0,1 0 0,0 1 0,0-1 0,0 0 0,0 1 0,0-1 0,0 0 0,0 1 0,0-1 0,1 1 0,-1-1 0,0 0 0,0 1 0,1-1 0,-1 1 0,0-1 0,0 0 0,1 1 0,-1-1 0,1 1 0,-1-1 0,0 1 0,1 0 0,-1-1 0,1 1 0,-1-1 0,1 1 0,-1 0 0,1-1 0,0 1 0,-1 0 0,1 0 0,-1-1 0,1 1 0,0 0 0,0 0 0,11-4 0,0 1 0,0 1 0,22-2 0,-10 1 0,72-8 0,175-44 0,-247 48 0,0-2 0,-1 0 0,34-19 0,-48 23 0,0-1 0,0 0 0,0-1 0,-1 0 0,0 0 0,0-1 0,-1 0 0,0 0 0,-1-1 0,10-14 0,-9 9 0,-6 10 0,0 1 0,1-1 0,0 1 0,0 0 0,2-3 0,-3 6 0,-1-1 0,0 1 0,0 0 0,0 0 0,0 0 0,0 0 0,0 0 0,0 0 0,0 0 0,0 0 0,1-1 0,-1 1 0,0 0 0,0 0 0,0 0 0,0 0 0,0 0 0,1 0 0,-1 0 0,0 0 0,0 0 0,0 0 0,0 0 0,0 0 0,1 0 0,-1 0 0,0 0 0,0 0 0,0 0 0,0 0 0,0 0 0,1 0 0,-1 0 0,0 0 0,0 0 0,0 0 0,0 0 0,0 1 0,0-1 0,1 0 0,-1 0 0,0 0 0,0 0 0,0 0 0,0 0 0,0 0 0,0 0 0,0 1 0,0-1 0,0 0 0,0 0 0,1 0 0,-1 0 0,0 0 0,0 0 0,0 1 0,1 4 0,1 0 0,-1 1 0,0-1 0,-1 1 0,1-1 0,-1 11 0,0-1 0,-10 564 0,3-515 0,6-54 0,1-9 0,0-1 0,0 0 0,0 0 0,1 0 0,-1 0 0,0 0 0,0 0 0,0 0 0,0 0 0,0 0 0,0 0 0,0 0 0,0 0 0,0 0 0,0 0 0,0 0 0,0 0 0,0 0 0,0 0 0,0 0 0,0 0 0,0 0 0,0 0 0,0 0 0,0 0 0,0 0 0,1 0 0,-1 0 0,0 0 0,0 0 0,0 0 0,0 0 0,0 0 0,0 0 0,0 0 0,0 0 0,0 0 0,0 0 0,0 0 0,0 0 0,0 0 0,0 0 0,0 0 0,0 0 0,0 0 0,0 0 0,0 0 0,1 0 0,-1 0 0,0 0 0,0 0 0,0 0 0,0 0 0,0 0 0,0 0 0,0-1 0,0 1 0,0 0 0,0 0 0,0 0 0,0 0 0,0 0 0,0 0 0,0 0 0,0 0 0,0 0 0,8-18 0,18-64 0,18-103 0,-30 114 0,-3 0 0,3-141 0,-14 211 0,0 0 0,0-1 0,0 1 0,0 0 0,0 0 0,0-1 0,0 1 0,1 0 0,-1-1 0,0 1 0,1 0 0,-1 0 0,1 0 0,-1-1 0,1 1 0,0 0 0,-1 0 0,2-1 0,-1 1 0,1 0 0,-1 1 0,1-1 0,-1 1 0,1-1 0,-1 1 0,1-1 0,0 1 0,-1 0 0,1 0 0,-1 0 0,1 0 0,0 0 0,1 0 0,0 0 0,0 0 0,0 0 0,0 1 0,-1-1 0,1 1 0,0 0 0,0-1 0,-1 1 0,1 0 0,0 1 0,-1-1 0,1 0 0,-1 1 0,1 0 0,-1-1 0,3 4 0,-4-3 0,1 0 0,-1 0 0,1 0 0,-1 0 0,0 1 0,0-1 0,0 0 0,0 1 0,0-1 0,-1 1 0,1-1 0,-1 1 0,1-1 0,-1 1 0,0-1 0,0 1 0,0-1 0,-1 6 0,0-7 0,1 1 0,-1-1 0,1 0 0,-1 0 0,1 1 0,-1-1 0,0 0 0,0 0 0,1 0 0,-1 0 0,0 0 0,0 0 0,0 0 0,0 0 0,0 0 0,-1 0 0,1-1 0,0 1 0,0 0 0,0-1 0,-1 1 0,1-1 0,0 1 0,-1-1 0,1 0 0,-2 1 0,-5 0 0,0 1 0,-1-2 0,-8 1 0,10-1 0,-30 2-1365,24-1-5461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23:52:28.73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3 581 24575,'0'-2'0,"1"-1"0,-1 0 0,1 0 0,-1 1 0,1-1 0,0 0 0,0 1 0,0-1 0,0 1 0,1-1 0,-1 1 0,1 0 0,-1-1 0,1 1 0,3-2 0,3-5 0,1 1 0,13-9 0,-2 2 0,-10 6 0,0-1 0,0 0 0,-1 0 0,8-12 0,-13 16 0,-1 1 0,0-1 0,0 1 0,0-1 0,0 0 0,-1 0 0,0 0 0,-1 0 0,1-1 0,0-11 0,-2 16 0,0 0 0,0 1 0,0-1 0,0 0 0,-1 0 0,1 1 0,0-1 0,-1 1 0,0-1 0,1 0 0,-1 1 0,0-1 0,0 1 0,0-1 0,0 1 0,0 0 0,0-1 0,0 1 0,0 0 0,-1 0 0,1 0 0,0 0 0,-1 0 0,1 0 0,-1 0 0,1 0 0,-1 1 0,-1-2 0,-5 0 0,-1-1 0,1 1 0,-1 1 0,-12-2 0,3 1 0,16 2 0,-1-1 0,1 1 0,0 0 0,0 0 0,0 0 0,-1 0 0,1 0 0,0 0 0,0 1 0,0-1 0,0 1 0,-4 1 0,4-1 0,1 0 0,0 0 0,-1 0 0,1 0 0,0 1 0,0-1 0,0 0 0,0 1 0,0-1 0,0 1 0,0-1 0,0 1 0,1-1 0,-1 1 0,0 0 0,0 2 0,-3 12 0,0 0 0,1 1 0,-1 18 0,4-27 0,0-1 0,0 1 0,0-1 0,1 1 0,0-1 0,1 0 0,0 1 0,0-1 0,4 9 0,-4-13 0,-1 0 0,1 0 0,1 0 0,-1 0 0,0-1 0,1 1 0,-1 0 0,1-1 0,0 0 0,0 0 0,0 0 0,0 0 0,0 0 0,1 0 0,-1-1 0,0 1 0,1-1 0,-1 0 0,1 0 0,4 0 0,7 1 0,1-1 0,0 0 0,22-2 0,-12 0 0,-24 1 0,0-1 0,0 1 0,0 0 0,0-1 0,0 1 0,0-1 0,0 0 0,0 0 0,0 0 0,-1 0 0,1 0 0,0 0 0,0 0 0,-1-1 0,1 1 0,-1 0 0,1-1 0,-1 0 0,1 1 0,-1-1 0,0 0 0,0 1 0,0-1 0,0 0 0,0 0 0,-1 0 0,1 0 0,0-2 0,2-8 0,0 1 0,-1 0 0,1-22 0,-2 25 0,20-194 0,-21 201 0,0-1 0,0 0 0,1 0 0,-1 0 0,1 0 0,-1 0 0,1 1 0,0-1 0,0 0 0,0 1 0,0-1 0,0 0 0,0 1 0,0-1 0,0 1 0,3-3 0,-3 4 0,1-1 0,-1 0 0,0 1 0,1-1 0,-1 1 0,1 0 0,-1 0 0,1-1 0,-1 1 0,0 0 0,1 0 0,-1 0 0,1 0 0,-1 0 0,1 1 0,-1-1 0,1 0 0,-1 1 0,0-1 0,1 1 0,-1 0 0,2 0 0,4 3 0,-1 0 0,1 0 0,-1 0 0,0 1 0,-1 0 0,1 0 0,-1 0 0,0 1 0,0 0 0,0 0 0,-1 0 0,0 0 0,0 1 0,-1 0 0,0 0 0,0 0 0,-1 0 0,1 0 0,-1 0 0,-1 1 0,0-1 0,1 15 0,-3 99 0,1 46 0,0-166 0,0 0 0,0 0 0,0 0 0,0 0 0,0 0 0,0 0 0,1 0 0,-1 0 0,0 0 0,0 0 0,1 0 0,-1 0 0,1 0 0,-1 0 0,1-1 0,-1 1 0,1 0 0,-1 0 0,1 0 0,0-1 0,0 1 0,-1 0 0,2 0 0,-1-1 0,0 1 0,1-1 0,-1 0 0,0 0 0,0 0 0,0 0 0,0 0 0,1 0 0,-1 0 0,0 0 0,0 0 0,0-1 0,0 1 0,1 0 0,-1-1 0,1 0 0,5-2 0,0-1 0,-1 0 0,0 0 0,11-10 0,17-19 0,59-73 0,-70 78 0,-22 26 0,1-1 0,0 1 0,0 0 0,0 0 0,1 1 0,-1-1 0,1 0 0,-1 1 0,1-1 0,-1 1 0,1 0 0,-1 0 0,5-1 0,-3 1 0,1 0 0,0 1 0,-1 0 0,1 0 0,0 0 0,-1 0 0,6 2 0,-75 1 0,57-2 0,-1 0 0,1 0 0,0 1 0,-1 0 0,1 0 0,0 1 0,0 0 0,-15 8 0,20-9 0,-1 1 0,1-1 0,0 1 0,0-1 0,0 1 0,0 0 0,0 0 0,1 1 0,-1-1 0,1 0 0,0 1 0,0 0 0,0-1 0,0 1 0,1 0 0,0 0 0,-1 0 0,1 0 0,1 0 0,-2 7 0,2-8 0,1-1 0,-1 1 0,0 0 0,1 0 0,0-1 0,-1 1 0,1-1 0,0 1 0,0 0 0,1-1 0,-1 0 0,0 1 0,1-1 0,-1 0 0,1 0 0,0 0 0,0 0 0,0 0 0,0 0 0,0 0 0,3 1 0,-3-1 0,1 0 0,-1-1 0,1 1 0,-1-1 0,1 0 0,0 0 0,0 0 0,-1 0 0,1 0 0,0-1 0,0 1 0,0-1 0,0 0 0,0 0 0,0 0 0,0 0 0,-1 0 0,1-1 0,0 1 0,3-2 0,1-2 0,0 1 0,0-1 0,-1 0 0,1-1 0,-1 0 0,10-9 0,-2-1 0,16-21 0,-13 10 0,-14 20 0,0 0 0,1 1 0,-1 0 0,6-6 0,-8 11 0,-1 0 0,0-1 0,0 1 0,0 0 0,0 0 0,0-1 0,1 1 0,-1 0 0,0 0 0,0 0 0,0 0 0,0 0 0,1-1 0,-1 1 0,0 0 0,0 0 0,1 0 0,-1 0 0,0 0 0,0 0 0,1 0 0,-1 0 0,0 0 0,0 0 0,1 0 0,-1 0 0,0 0 0,0 0 0,0 0 0,1 0 0,-1 0 0,0 0 0,0 0 0,1 0 0,-1 0 0,0 0 0,0 0 0,1 0 0,-1 0 0,0 1 0,0-1 0,0 0 0,1 0 0,-1 0 0,0 0 0,0 1 0,0-1 0,0 0 0,0 0 0,1 0 0,-1 1 0,0-1 0,0 0 0,0 0 0,0 1 0,3 16 0,2 36 0,-1 1 0,2 0 0,25 99 0,-30-150 0,0 1 0,0-1 0,1 1 0,-1-1 0,1 1 0,0-1 0,0 0 0,0 0 0,0 0 0,1 0 0,-1 0 0,5 3 0,-5-5 0,0 0 0,0 0 0,0 0 0,0 0 0,0 0 0,0 0 0,0-1 0,0 1 0,0-1 0,1 1 0,-1-1 0,0 0 0,0 0 0,0 0 0,1 0 0,-1 0 0,0-1 0,0 1 0,0-1 0,0 1 0,1-1 0,1-1 0,7-3 0,-1 0 0,0-1 0,-1 0 0,16-12 0,34-35 0,-27 23 0,-27 26 0,11-10 0,1-1 0,24-14 0,-35 25 0,1 1 0,-1 0 0,1 0 0,0 0 0,0 1 0,0 0 0,1 0 0,-1 1 0,0-1 0,13 1 0,5 3 0,-18-2 0,0 1 0,0-1 0,0 0 0,8-1 0,-14 1 0,-1 0 0,0 0 0,1 0 0,-1 0 0,1 0 0,-1 0 0,1-1 0,-1 1 0,0 0 0,1 0 0,-1 0 0,1 0 0,-1-1 0,1 1 0,-1 0 0,0 0 0,1-1 0,-1 1 0,0 0 0,1 0 0,-1-1 0,0 1 0,0 0 0,1-1 0,-1 1 0,0-1 0,0 1 0,1 0 0,-1-1 0,0 1 0,0-1 0,0 0 0,0 0 0,-1 0 0,1 0 0,0 1 0,-1-1 0,1 0 0,-1 0 0,1 1 0,-1-1 0,1 0 0,-1 1 0,0-1 0,1 0 0,-2 0 0,-3-3 0,0 1 0,-1-1 0,-7-3 0,1 3 0,0 0 0,0 1 0,0 0 0,0 1 0,-14-2 0,-62 2 0,78 2 0,5 0 0,1 0 0,-1 0 0,1 0 0,0 1 0,-1 0 0,1 0 0,-7 3 0,9-3 0,0 0 0,0 0 0,1 0 0,-1 0 0,0 0 0,1 1 0,-1-1 0,1 1 0,0-1 0,-1 1 0,1-1 0,0 1 0,0 0 0,0 0 0,0 0 0,0-1 0,0 1 0,0 3 0,-2 4 0,1 1 0,0 0 0,1 0 0,0 0 0,0 0 0,1 0 0,2 15 0,-2-20 0,1 0 0,0 0 0,0 0 0,0 1 0,1-1 0,0-1 0,0 1 0,0 0 0,1 0 0,-1-1 0,1 1 0,0-1 0,0 0 0,1 0 0,7 7 0,-8-9 0,0 0 0,1 0 0,-1 0 0,1 0 0,-1-1 0,1 0 0,0 0 0,-1 0 0,1 0 0,0 0 0,0-1 0,0 1 0,-1-1 0,1 0 0,0-1 0,0 1 0,0-1 0,0 1 0,-1-1 0,1 0 0,5-2 0,-1 0 0,-1-1 0,1 1 0,-1-1 0,0-1 0,0 1 0,-1-1 0,1 0 0,10-12 0,-2-1 0,-2 0 0,0 0 0,-1-1 0,-1-1 0,-1 0 0,12-34 0,-3-2 0,14-75 0,28-244 0,-59 361 0,-1 17 0,-1 25 0,0-21 0,-2 561 0,2-566 0,0 2 0,-1-1 0,2 1 0,-1 0 0,0-1 0,1 1 0,0-1 0,1 4 0,-2-6 0,1 0 0,-1 0 0,1 0 0,0 0 0,-1 0 0,1 0 0,0 0 0,0-1 0,0 1 0,0 0 0,0-1 0,0 1 0,0 0 0,0-1 0,0 1 0,0-1 0,0 0 0,0 1 0,0-1 0,0 0 0,0 0 0,1 1 0,-1-1 0,0 0 0,2 0 0,130-3 0,-132 3 0,0 0 0,0 0 0,-1 0 0,1 0 0,0 0 0,0 0 0,0 0 0,-1-1 0,1 1 0,0 0 0,0 0 0,-1-1 0,1 1 0,0-1 0,-1 1 0,1 0 0,0-1 0,-1 1 0,1-1 0,0 0 0,-1 1 0,1-1 0,-1 1 0,1-1 0,-1 0 0,0 1 0,1-1 0,-1 0 0,0 0 0,1 1 0,-1-1 0,0 0 0,0 0 0,1 1 0,-1-1 0,0 0 0,0 0 0,0-1 0,-1 1 0,1 0 0,0 0 0,-1-1 0,1 1 0,-1 0 0,1 0 0,-1 0 0,0-1 0,1 1 0,-1 0 0,0 0 0,0 0 0,0 0 0,0 0 0,0 1 0,0-1 0,0 0 0,0 0 0,0 1 0,0-1 0,0 0 0,0 1 0,-3-1 0,-5-2 0,0 1 0,-1 0 0,0 0 0,1 1 0,-1 0 0,0 1 0,1 0 0,-1 1 0,0 0 0,1 0 0,-14 4 0,19-3 0,0 0 0,0 1 0,0-1 0,-5 5 0,7-6 0,1 0 0,0 0 0,0 0 0,-1 0 0,1 0 0,0 1 0,0-1 0,0 1 0,0-1 0,0 0 0,1 1 0,-1 0 0,0-1 0,0 4 0,1-4 0,0-1 0,0 1 0,0 0 0,0-1 0,1 1 0,-1 0 0,0 0 0,1-1 0,-1 1 0,0 0 0,1-1 0,-1 1 0,1-1 0,-1 1 0,1-1 0,-1 1 0,1-1 0,-1 1 0,1-1 0,-1 1 0,2 0 0,17 9 0,-13-8 0,72 42 0,20 9 0,-77-44 0,-1 0 0,42 11 0,-58-19-1365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23:52:30.6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684 0 24575,'-23'1445'-5014,"-48"-30"5099,-61-5-3498,-72 33 1140,131-947 2253,66-454 3,-52 343 1111,9-132 2929,11-56 867,15 1-5610,22-165-6106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23:52:45.301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1 425 24575,'41'-29'0,"-37"26"0,0 0 0,1 1 0,-1-1 0,0 1 0,1 0 0,0 0 0,-1 1 0,1-1 0,0 1 0,0 0 0,7 0 0,7-1 0,31 3 0,-29 0 0,83 10 0,11 0 0,304-12 0,-408 0 0,-1 0 0,1-1 0,-1 0 0,0 0 0,0-1 0,0-1 0,0 0 0,-1 0 0,0-1 0,1 0 0,-2-1 0,17-12 0,-5 0 0,0 0 0,-2-2 0,29-38 0,-24 24 0,-2 0 0,23-51 0,-19 33 0,-25 51 0,1 0 0,-1 0 0,1 0 0,-1 0 0,1 0 0,0 0 0,-1 0 0,1 0 0,0 0 0,-1 0 0,1 1 0,0-1 0,0 0 0,0 0 0,0 1 0,0-1 0,0 0 0,0 1 0,0-1 0,2 0 0,-2 2 0,0-1 0,0 0 0,0 1 0,1-1 0,-1 1 0,0-1 0,0 1 0,0 0 0,0 0 0,0-1 0,0 1 0,0 0 0,0 0 0,0 0 0,0 0 0,-1 0 0,1 0 0,0 0 0,0 2 0,24 36 0,30 68 0,-18-33 0,-21-43 0,-4-7 0,0 0 0,27 35 0,-35-56 0,-1 1 0,1-1 0,0 0 0,0 0 0,0 0 0,0 0 0,0-1 0,1 0 0,-1 0 0,1 0 0,0 0 0,8 2 0,7-1 0,36 4 0,-44-7 0,217 4 0,-1-18 0,5 0 0,-89 10 0,213 22 0,-142 8 0,408 40 0,-570-64 0,20 2 0,-71-3 0,0-1 0,1 1 0,-1-1 0,0 1 0,0 0 0,1 0 0,-1 0 0,0 0 0,0 0 0,0 0 0,0 0 0,0 1 0,-1-1 0,1 1 0,0 0 0,0-1 0,-1 1 0,2 2 0,1 3 0,0 0 0,0 0 0,-1 1 0,2 7 0,-1-4 0,62 182-1365,-61-173-5461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23:52:53.26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0 104,'2'0,"2"-2,8 0,15-4,17 0,16-3,14-2,12 2,12-2,11 1,7-1,8 1,1 3,-3 2,-11 2,-17 2,-20 0,-18 1,-15 1,-9-1,0 6,12 8,15 13,15 6,17 5,7 3,4-3,-2-5,-8-9,-9-4,-10-7,-14-4,-8-5,-10-2,-6-2,-2-1,-1 0,3 0,8 0,7 0,10 1,9 0,13 0,9 0,8 0,7 0,-5 0,-12 0,-13 0,-17 0,-18 0,-13 0,-10 0,-7 0,1 2,4 3,13 7,14 5,16 4,10 4,4 1,-4-2,-5-5,-10-2,-11-5,-10-3,-8-4,-2-3,5-5,3-5,-1-5,-1-4,0-2,-4-2,1 1,0 1,2 2,-1 1,0 5,-3 3,-3 3,-4 3,0 1,1 2,4-1,4 1,-1 0,-3-1,-4 1,-4-1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1:50:14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1336 24575,'24'-4'0,"0"0"0,0 1 0,27 1 0,-12 0 0,401-15-365,-212 7-1097,79 1 1096,193 2 366,2092-2-8626,-2275 9 7894,628 12-378,608-3 1110,-1136-34 3268,-197 9 3375,-38 10-3827,-63 7-4143,-116-1 1223,26 0-6722</inkml:trace>
  <inkml:trace contextRef="#ctx0" brushRef="#br0" timeOffset="1005.28">3149 1045 24575,'0'3'0,"2"7"0,6 4 0,1 4 0,1 11 0,-1 4 0,1 9 0,-2 5 0,2 4 0,2 5 0,-1-5 0,-3-9 0,-2-10 0,2-10 0,-1-8-8191</inkml:trace>
  <inkml:trace contextRef="#ctx0" brushRef="#br0" timeOffset="1740.21">3162 1920 24575,'2'-4'0,"1"1"0,-1 0 0,1 0 0,0 0 0,0 0 0,0 0 0,0 0 0,0 1 0,5-3 0,5-4 0,171-146 0,-49 41 0,-132 111 0,13-8 0,-16 10 0,0 1 0,1 0 0,-1 0 0,0-1 0,1 1 0,-1 0 0,1 0 0,-1 0 0,0 0 0,1 0 0,-1 0 0,1 0 0,-1-1 0,0 1 0,1 0 0,-1 0 0,1 0 0,-1 1 0,0-1 0,1 0 0,-1 0 0,1 0 0,-1 0 0,0 0 0,1 0 0,-1 1 0,0-1 0,1 0 0,-1 0 0,0 0 0,1 1 0,-1-1 0,0 0 0,1 0 0,-1 1 0,0-1 0,1 1 0,1 5 0,0 1 0,-1-1 0,1 1 0,-1-1 0,0 1 0,-1-1 0,0 1 0,0 0 0,-1 9 0,0 7 0,-5 116 0,-5 0 0,-45 202 0,43-276 0,-34 138 0,46-199-107,-6 14 346,7-18-281,0 0 1,-1 1-1,1-1 1,0 0-1,-1 1 0,1-1 1,0 0-1,-1 0 1,1 1-1,0-1 1,-1 0-1,1 0 0,-1 0 1,1 0-1,0 1 1,-1-1-1,1 0 0,-1 0 1,1 0-1,-1 0 1,1 0-1,0 0 1,-1 0-1,1 0 0,-1 0 1,1-1-1,-1 1 1,1 0-1,0 0 0,-1 0 1,1 0-1,-1 0 1,1-1-1,0 1 1,-1-1-1,-11-6-6784</inkml:trace>
  <inkml:trace contextRef="#ctx0" brushRef="#br0" timeOffset="2470.17">688 1708 24575,'3'11'0,"0"17"0,2 13 0,5 9 0,0 6 0,-1 4 0,-2-7 0,-3-6 0,-1-8 0,-2-8 0,-1-8 0,0-14 0,0-18 0,-1-7-8191</inkml:trace>
  <inkml:trace contextRef="#ctx0" brushRef="#br0" timeOffset="3756.15">675 1681 24575,'0'-3'0,"1"0"0,-1 1 0,1-1 0,-1 1 0,1-1 0,0 0 0,0 1 0,0 0 0,0-1 0,0 1 0,0 0 0,1-1 0,-1 1 0,1 0 0,0 0 0,0 0 0,0 1 0,-1-1 0,2 0 0,-1 1 0,3-3 0,6-2 0,0 0 0,0 1 0,16-6 0,-10 5 0,30-12 0,1 2 0,1 2 0,1 3 0,-1 2 0,2 2 0,82-2 0,-111 9 0,-1 1 0,0 1 0,1 1 0,-1 1 0,31 10 0,-44-12 0,-1 1 0,1 0 0,-1 1 0,0 0 0,0 0 0,0 0 0,0 1 0,-1 0 0,0 0 0,0 1 0,0 0 0,-1 0 0,1 0 0,-2 1 0,1-1 0,-1 1 0,6 12 0,-7-12 0,0 0 0,-1 1 0,0-1 0,0 1 0,0 0 0,-1-1 0,-1 1 0,1 0 0,-1 0 0,0-1 0,-3 14 0,2-16 0,0 0 0,-1 0 0,1-1 0,-1 1 0,0 0 0,-1-1 0,1 1 0,-1-1 0,0 0 0,0 0 0,0 0 0,0-1 0,-1 1 0,0-1 0,0 1 0,0-1 0,0 0 0,0-1 0,-5 3 0,-5 2 0,0-2 0,-1 0 0,1 0 0,-1-1 0,0-1 0,-1-1 0,-15 1 0,-111-2 0,115-2 0,19 1 0,-4 0 0,1 0 0,-22-5 0,25 2 0,7-1 0,13-4 0,10-1 0,0 0 0,1 2 0,-1 1 0,29-4 0,97-8 0,-126 16 0,-1 2 0,1 0 0,0 1 0,-1 0 0,30 8 0,-39-6 0,0 0 0,-1 1 0,1 1 0,-1 0 0,0 1 0,0 0 0,-1 0 0,0 1 0,0 1 0,17 15 0,-17-12 0,0 1 0,-1 0 0,0 0 0,0 0 0,-1 1 0,-1 1 0,-1-1 0,1 1 0,-2 0 0,0 1 0,-1-1 0,-1 1 0,0 0 0,0 0 0,-2 0 0,0 28 0,-1-40 0,0-1 0,-1 1 0,1 0 0,-1-1 0,0 1 0,0 0 0,0-1 0,0 1 0,0-1 0,0 1 0,-1-1 0,1 0 0,-1 0 0,0 1 0,1-1 0,-1 0 0,0 0 0,0-1 0,0 1 0,-1 0 0,1-1 0,0 1 0,-5 1 0,-5 2 0,1-1 0,-1-1 0,0 0 0,-15 2 0,23-4 0,-64 9 0,-82 1 0,-73-10 0,194-1 0,-449-24-797,422 16-436,20 1-4928</inkml:trace>
  <inkml:trace contextRef="#ctx0" brushRef="#br0" timeOffset="4615.79">6509 1006 24575,'-4'5'0,"-2"10"0,-2 18 0,0 18 0,2 12 0,-3 11 0,1 0 0,0-7 0,3-8 0,2-13 0,1-18 0,2-18 0,-1-13 0,2-7-8191</inkml:trace>
  <inkml:trace contextRef="#ctx0" brushRef="#br0" timeOffset="5508.95">5940 1972 24575,'108'-41'0,"20"-6"0,-109 41 0,0 2 0,0 0 0,0 1 0,0 1 0,21 1 0,-38 1 0,0 0 0,1 0 0,-1 1 0,0-1 0,0 1 0,0-1 0,0 1 0,1 0 0,-1 0 0,0 0 0,0 0 0,-1 0 0,1 0 0,0 1 0,0-1 0,0 0 0,-1 1 0,1 0 0,-1-1 0,1 1 0,-1 0 0,0 0 0,0 0 0,0 0 0,0 0 0,0 0 0,0 0 0,0 0 0,-1 0 0,2 4 0,0 6 0,0 1 0,-1-1 0,-1 1 0,0 16 0,-1-14 0,1-8 0,0 0 0,0 0 0,-1 1 0,0-1 0,-1 0 0,1 0 0,-2 0 0,1 0 0,-1 0 0,0-1 0,0 1 0,0-1 0,-1 0 0,0 0 0,-1 0 0,1 0 0,-1-1 0,0 1 0,-7 4 0,-76 58 0,13-12 0,69-51 0,0 1 0,1-1 0,0 1 0,0 0 0,-6 10 0,10-14 0,-1 0 0,1 0 0,0 0 0,0 0 0,1 1 0,-1-1 0,0 1 0,1-1 0,-1 4 0,1-5 0,0 1 0,0-1 0,1 0 0,-1 0 0,0 0 0,0 1 0,1-1 0,-1 0 0,1 0 0,-1 0 0,1 0 0,-1 0 0,1 0 0,0 0 0,-1 0 0,1 0 0,0 0 0,0 0 0,0 0 0,1 0 0,1 1 0,0 0 0,0 0 0,0 0 0,0-1 0,0 1 0,1-1 0,-1 0 0,6 1 0,33 3 0,-30-4 0,352 9-61,-265-10-174,652-1-1249,-663-1 1484,-54-1 267,-34 3-274,0 0-1,0 0 0,0 0 0,1 0 0,-1-1 0,0 1 0,0 0 1,0 0-1,1 0 0,-1 0 0,0 0 0,0 0 0,0 0 0,1 0 1,-1-1-1,0 1 0,0 0 0,0 0 0,0 0 0,0 0 0,1-1 1,-1 1-1,0 0 0,0 0 0,0 0 0,0-1 0,0 1 0,0 0 1,0 0-1,0 0 0,0-1 0,0 1 0,0 0 0,0-1-68,-1 0 0,1 0-1,-1 1 1,1-1 0,-1 0-1,1 1 1,-1-1 0,0 1-1,1-1 1,-1 1 0,0-1-1,0 1 1,-1-1 0,-30-14-5267</inkml:trace>
  <inkml:trace contextRef="#ctx0" brushRef="#br0" timeOffset="7145.32">4273 0 24575,'9'11'0,"-1"0"0,-1 1 0,0 0 0,0 0 0,7 22 0,17 66 0,-18-41 0,-2-1 0,4 95 0,-16 119 0,1-270 0,0 8 0,4-18 0,67-321 0,-52 223 0,-18 101 0,1-7 0,0-1 0,2 1 0,5-17 0,-1 20 0,-8 9 0,0-1 0,1 1 0,-1 0 0,0 0 0,0 0 0,1 0 0,-1 0 0,0 0 0,0 0 0,1 0 0,-1 0 0,0 0 0,1 1 0,-1-1 0,0 0 0,0 0 0,1 0 0,-1 0 0,0 0 0,0 0 0,0 0 0,1 1 0,-1-1 0,0 0 0,1 1 0,10 18 0,-6-9 0,-3-7 0,0-1 0,0 0 0,0 1 0,0-1 0,0 0 0,1 0 0,-1-1 0,1 1 0,-1 0 0,1-1 0,0 1 0,0-1 0,0 0 0,-1 0 0,1 0 0,0 0 0,0-1 0,0 1 0,0-1 0,0 0 0,1 0 0,-1 0 0,5-1 0,3 0 0,0-1 0,0-1 0,0 0 0,0 0 0,11-6 0,119-60 0,-97 45 0,1 2 0,84-29 0,-123 49 0,1 1 0,0-1 0,0 1 0,0 0 0,0 1 0,0 0 0,12 1 0,-14-1 0,0 1 0,-1 1 0,1-1 0,-1 1 0,0-1 0,1 1 0,-1 0 0,0 1 0,0-1 0,0 1 0,-1 0 0,7 5 0,-1 3 0,1 0 0,-2 1 0,1 0 0,-2 0 0,1 1 0,-2-1 0,0 2 0,8 23 0,1 14 0,8 52 0,-22-97 0,61 397 0,-62-402-65,0 0 0,0 1 0,0-1 0,0 0 0,0 0 0,1 0 0,-1 0 0,0 0 0,1 0 0,-1 0 0,1 0 0,-1 0 0,1 0 0,-1 0 0,1 0 0,0-1 0,-1 1 0,1 0 0,0 0 0,1 0 0,6 3-6761</inkml:trace>
  <inkml:trace contextRef="#ctx0" brushRef="#br0" timeOffset="9688.74">8401 1959 24575,'0'98'0,"-5"0"0,-24 146 0,23-223 0,6-21 0,0 0 0,0 0 0,0 0 0,0 1 0,0-1 0,0 0 0,0 0 0,-1 0 0,1 1 0,0-1 0,0 0 0,0 0 0,0 0 0,0 0 0,0 1 0,0-1 0,0 0 0,0 0 0,-1 0 0,1 0 0,0 0 0,0 0 0,0 1 0,0-1 0,0 0 0,-1 0 0,1 0 0,0 0 0,0 0 0,0 0 0,-1 0 0,1 0 0,0 0 0,0 0 0,0 0 0,0 0 0,-1 0 0,1 0 0,0 0 0,0 0 0,0 0 0,-1 0 0,1 0 0,0 0 0,0 0 0,0 0 0,0 0 0,-1 0 0,1 0 0,0 0 0,0 0 0,0-1 0,0 1 0,-1 0 0,1 0 0,0 0 0,0 0 0,0 0 0,0 0 0,0-1 0,0 1 0,0 0 0,0 0 0,-1 0 0,1 0 0,0-1 0,0 1 0,0 0 0,-5-17 0,1-12 0,1-1 0,1 1 0,1-1 0,2 0 0,1 0 0,6-33 0,48-174 0,69-148 0,-122 378 0,6-15 0,-8 21 0,-1 0 0,0 1 0,1-1 0,-1 0 0,1 0 0,-1 1 0,1-1 0,-1 0 0,1 1 0,-1-1 0,1 1 0,0-1 0,-1 0 0,1 1 0,0 0 0,-1-1 0,1 1 0,1-1 0,-1 1 0,0 0 0,-1 0 0,1 1 0,-1-1 0,1 0 0,-1 1 0,1-1 0,0 1 0,-1-1 0,0 0 0,1 1 0,-1-1 0,1 1 0,-1 0 0,0-1 0,1 1 0,-1-1 0,0 1 0,1-1 0,-1 1 0,0 0 0,0-1 0,1 2 0,3 14 0,0 0 0,5 34 0,-5-21 0,23 169 0,3 325 0,-30-453 0,-3 164 0,3-228 0,0-3 0,0 1 0,0-1 0,0 0 0,0 0 0,-1 0 0,1 0 0,-1 0 0,0-1 0,0 1 0,0 0 0,-2 3 0,3-6 0,0 0 0,0 1-1,-1-1 1,1 0-1,0 0 1,0 0 0,0 0-1,-1 0 1,1 0 0,0 1-1,-1-1 1,1 0 0,0 0-1,0 0 1,-1 0 0,1 0-1,0 0 1,0 0 0,-1 0-1,1 0 1,0 0-1,0 0 1,-1 0 0,1-1-1,0 1 1,0 0 0,-1 0-1,1 0 1,0 0 0,0 0-1,-1 0 1,1-1 0,0 1-1,0 0 1,0 0 0,-1 0-1,1-1 1,0 1-1,0 0 1,0 0 0,0 0-1,0-1 1,-1 1 0,-6-13-1042,6 12 734,-9-21-6518</inkml:trace>
  <inkml:trace contextRef="#ctx0" brushRef="#br0" timeOffset="10123.29">8004 1972 24575,'5'0'0,"14"0"0,23 0 0,24 0 0,25 0 0,23 4 0,16 2 0,11 0 0,-1-1 0,-15-2 0,-22-1 0,-23-1 0,-27 0-8191</inkml:trace>
  <inkml:trace contextRef="#ctx0" brushRef="#br0" timeOffset="12162.17">10531 1178 24575,'-2'-46'0,"-8"-52"0,3 43 0,-3-24 0,-24-91 0,23 130 0,-1 1 0,-2 1 0,-2 0 0,-25-43 0,33 67 0,-1 0 0,-1 1 0,0 0 0,-1 1 0,0 0 0,-1 0 0,-25-18 0,26 23 0,0 0 0,0 1 0,-1 0 0,1 1 0,-1 0 0,-1 1 0,1 0 0,-1 1 0,1 0 0,-21-1 0,19 4 2,0 0 1,0 0-1,1 2 0,-1-1 0,1 2 1,-1 0-1,-21 8 0,17-4-12,0 1-1,1 1 1,0 1 0,-28 21-1,14-5-153,1 1-1,1 1 0,2 2 0,-40 55 0,29-30 103,3 1 0,-51 110 0,67-120 65,1 2 0,2 0 0,3 2 0,-10 63 0,21-97-3,0 1 0,1-1 0,1 1 0,0-1 0,1 1 0,1-1 0,1 0 0,6 22 0,-7-30 0,1 0 0,1-1 0,-1 1 0,1-1 0,0 0 0,1 0 0,0-1 0,0 1 0,0-1 0,1 0 0,0 0 0,0-1 0,0 0 0,1 0 0,0 0 0,0-1 0,0 0 0,11 4 0,-1-2 0,1 0 0,0-1 0,0-1 0,0 0 0,22 0 0,94-1 0,-108-4 0,280-19 0,-2-24 0,-299 43 3,179-26 784,-128 21-668,74 2 1,-90 3-1485,-28-1-5461</inkml:trace>
  <inkml:trace contextRef="#ctx0" brushRef="#br0" timeOffset="12785.02">10822 622 24575,'2'1'0,"-1"-1"0,0 0 0,1 1 0,-1-1 0,0 1 0,1-1 0,-1 1 0,0 0 0,0 0 0,0-1 0,0 1 0,1 0 0,-1 0 0,0 0 0,0 0 0,-1 0 0,1 0 0,2 3 0,13 25 0,-14-25 0,23 52 0,27 92 0,-30-79 0,10 28-342,237 662-476,-265-750 818,12 27 0,-15-34 0,0 0 0,0 0 0,1 0 0,-1 0 0,1 0 0,-1 0 0,1-1 0,0 1 0,-1-1 0,1 1 0,4 2 0,-5-4 0,0 0 0,0 1 0,0-1 0,0 0 0,0 0 0,0 0 0,0 0 0,0 1 0,0-2 0,0 1 0,0 0 0,0 0-1,0 0 1,0 0 0,0-1 0,0 1 0,0 0 0,0-1 0,0 1 0,0-1 0,0 1 0,-1-1 0,1 1 0,0-1 0,0 0 0,1-1 0,3-2 49,-1-1-1,0 0 1,5-8-1,41-67 436,59-132-1,76-223-1431,-22-8-1,-69 162 949,-90 269 71,-2 4-351,0 0 0,1 0 0,8-15 0,-5 15-4965</inkml:trace>
  <inkml:trace contextRef="#ctx0" brushRef="#br0" timeOffset="13489.03">9975 2422 24575,'105'-1'-16,"384"6"-337,-5 30 76,-314-11 511,75 8 70,-1-19-1669,-228-14-5353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8DE4-A319-D04E-9EB0-9BADC82E2882}">
  <dimension ref="A1:K38"/>
  <sheetViews>
    <sheetView zoomScale="120" zoomScaleNormal="120" workbookViewId="0">
      <selection activeCell="E42" sqref="E42"/>
    </sheetView>
  </sheetViews>
  <sheetFormatPr defaultColWidth="11" defaultRowHeight="15.75" x14ac:dyDescent="0.25"/>
  <cols>
    <col min="1" max="1" width="13.5" bestFit="1" customWidth="1"/>
    <col min="2" max="2" width="14" bestFit="1" customWidth="1"/>
    <col min="3" max="3" width="12.125" customWidth="1"/>
    <col min="4" max="4" width="12.625" customWidth="1"/>
    <col min="5" max="5" width="18.75" bestFit="1" customWidth="1"/>
    <col min="6" max="6" width="2" customWidth="1"/>
    <col min="7" max="7" width="13.5" bestFit="1" customWidth="1"/>
    <col min="8" max="8" width="11.875" bestFit="1" customWidth="1"/>
    <col min="10" max="10" width="11.875" bestFit="1" customWidth="1"/>
  </cols>
  <sheetData>
    <row r="1" spans="1:11" x14ac:dyDescent="0.25">
      <c r="A1" s="1" t="s">
        <v>11</v>
      </c>
      <c r="B1" t="s">
        <v>12</v>
      </c>
      <c r="C1" t="s">
        <v>13</v>
      </c>
      <c r="D1" t="s">
        <v>14</v>
      </c>
    </row>
    <row r="2" spans="1:11" x14ac:dyDescent="0.25">
      <c r="A2" s="17">
        <v>45658</v>
      </c>
      <c r="B2" s="2">
        <v>36.770000000000003</v>
      </c>
      <c r="C2" s="18">
        <v>120125.39</v>
      </c>
      <c r="D2" s="2">
        <v>2241.9</v>
      </c>
    </row>
    <row r="3" spans="1:11" x14ac:dyDescent="0.25">
      <c r="A3" s="17">
        <v>45689</v>
      </c>
      <c r="B3" s="2">
        <v>37.5</v>
      </c>
      <c r="C3" s="18">
        <v>125970.46</v>
      </c>
      <c r="D3" s="2">
        <v>2565.86</v>
      </c>
    </row>
    <row r="4" spans="1:11" x14ac:dyDescent="0.25">
      <c r="A4" s="17">
        <v>45717</v>
      </c>
      <c r="B4" s="2">
        <v>34.619999999999997</v>
      </c>
      <c r="C4" s="18">
        <v>123046.85</v>
      </c>
      <c r="D4" s="2">
        <v>2612.63</v>
      </c>
    </row>
    <row r="5" spans="1:11" x14ac:dyDescent="0.25">
      <c r="A5" s="17">
        <v>45748</v>
      </c>
      <c r="B5" s="2">
        <v>37.299999999999997</v>
      </c>
      <c r="C5" s="18">
        <v>131147.29</v>
      </c>
      <c r="D5" s="2">
        <v>2559.2800000000002</v>
      </c>
    </row>
    <row r="7" spans="1:11" x14ac:dyDescent="0.25">
      <c r="A7" s="144" t="s">
        <v>30</v>
      </c>
      <c r="B7" s="144"/>
      <c r="C7" s="144"/>
      <c r="D7" s="144"/>
      <c r="G7" s="145" t="s">
        <v>31</v>
      </c>
      <c r="H7" s="145"/>
      <c r="I7" s="145"/>
      <c r="J7" s="145"/>
    </row>
    <row r="8" spans="1:11" x14ac:dyDescent="0.25">
      <c r="A8" s="1" t="s">
        <v>11</v>
      </c>
      <c r="B8" s="1" t="s">
        <v>12</v>
      </c>
      <c r="C8" s="1" t="s">
        <v>13</v>
      </c>
      <c r="D8" s="1" t="s">
        <v>14</v>
      </c>
      <c r="E8" s="19" t="s">
        <v>14</v>
      </c>
      <c r="G8" s="1" t="s">
        <v>11</v>
      </c>
      <c r="H8" s="1" t="s">
        <v>12</v>
      </c>
      <c r="I8" s="1" t="s">
        <v>13</v>
      </c>
      <c r="J8" s="1" t="s">
        <v>14</v>
      </c>
      <c r="K8" s="19" t="s">
        <v>14</v>
      </c>
    </row>
    <row r="9" spans="1:11" x14ac:dyDescent="0.25">
      <c r="A9" s="17">
        <v>45689</v>
      </c>
      <c r="B9" s="7">
        <f>B3/B2-1</f>
        <v>1.9853141147674558E-2</v>
      </c>
      <c r="C9" s="7">
        <f t="shared" ref="C9" si="0">C3/C2-1</f>
        <v>4.8658073035184435E-2</v>
      </c>
      <c r="D9" s="7">
        <f>D3/D2-1</f>
        <v>0.14450243097372772</v>
      </c>
      <c r="E9" s="19" t="str">
        <f ca="1">_xlfn.FORMULATEXT(D9)</f>
        <v>=D3/D2-1</v>
      </c>
      <c r="G9" s="17">
        <v>45689</v>
      </c>
      <c r="H9" s="7">
        <f>LN(B3/B2)</f>
        <v>1.965863766318432E-2</v>
      </c>
      <c r="I9" s="7">
        <f t="shared" ref="I9:J9" si="1">LN(C3/C2)</f>
        <v>4.7511321117346343E-2</v>
      </c>
      <c r="J9" s="7">
        <f t="shared" si="1"/>
        <v>0.13496998445692032</v>
      </c>
      <c r="K9" s="19" t="str">
        <f ca="1">_xlfn.FORMULATEXT(J9)</f>
        <v>=LN(D3/D2)</v>
      </c>
    </row>
    <row r="10" spans="1:11" x14ac:dyDescent="0.25">
      <c r="A10" s="17">
        <v>45717</v>
      </c>
      <c r="B10" s="7">
        <f>B4/B3-1</f>
        <v>-7.680000000000009E-2</v>
      </c>
      <c r="C10" s="7">
        <f t="shared" ref="C10:D10" si="2">C4/C3-1</f>
        <v>-2.3208695117887146E-2</v>
      </c>
      <c r="D10" s="7">
        <f t="shared" si="2"/>
        <v>1.8227806661314405E-2</v>
      </c>
      <c r="E10" s="19" t="str">
        <f t="shared" ref="E10:E14" ca="1" si="3">_xlfn.FORMULATEXT(D10)</f>
        <v>=D4/D3-1</v>
      </c>
      <c r="G10" s="17">
        <v>45717</v>
      </c>
      <c r="H10" s="7">
        <f t="shared" ref="H10:H11" si="4">LN(B4/B3)</f>
        <v>-7.9909383228302031E-2</v>
      </c>
      <c r="I10" s="7">
        <f t="shared" ref="I10:I11" si="5">LN(C4/C3)</f>
        <v>-2.3482257861100524E-2</v>
      </c>
      <c r="J10" s="7">
        <f t="shared" ref="J10:J11" si="6">LN(D4/D3)</f>
        <v>1.806367173931657E-2</v>
      </c>
      <c r="K10" s="19" t="str">
        <f t="shared" ref="K10:K14" ca="1" si="7">_xlfn.FORMULATEXT(J10)</f>
        <v>=LN(D4/D3)</v>
      </c>
    </row>
    <row r="11" spans="1:11" x14ac:dyDescent="0.25">
      <c r="A11" s="17">
        <v>45748</v>
      </c>
      <c r="B11" s="7">
        <f>B5/B4-1</f>
        <v>7.7411900635470765E-2</v>
      </c>
      <c r="C11" s="7">
        <f t="shared" ref="C11:D11" si="8">C5/C4-1</f>
        <v>6.5832160677010476E-2</v>
      </c>
      <c r="D11" s="7">
        <f t="shared" si="8"/>
        <v>-2.0420036514929407E-2</v>
      </c>
      <c r="E11" s="19" t="str">
        <f t="shared" ca="1" si="3"/>
        <v>=D5/D4-1</v>
      </c>
      <c r="G11" s="17">
        <v>45748</v>
      </c>
      <c r="H11" s="7">
        <f t="shared" si="4"/>
        <v>7.4561776901706608E-2</v>
      </c>
      <c r="I11" s="7">
        <f t="shared" si="5"/>
        <v>6.3755865577292417E-2</v>
      </c>
      <c r="J11" s="7">
        <f t="shared" si="6"/>
        <v>-2.0631407885181294E-2</v>
      </c>
      <c r="K11" s="19" t="str">
        <f t="shared" ca="1" si="7"/>
        <v>=LN(D5/D4)</v>
      </c>
    </row>
    <row r="12" spans="1:11" ht="7.5" customHeight="1" x14ac:dyDescent="0.25"/>
    <row r="13" spans="1:11" x14ac:dyDescent="0.25">
      <c r="A13" s="22" t="s">
        <v>34</v>
      </c>
      <c r="B13" s="4">
        <f>AVERAGE(B9:B11)</f>
        <v>6.8216805943817444E-3</v>
      </c>
      <c r="C13" s="4">
        <f t="shared" ref="C13:D13" si="9">AVERAGE(C9:C11)</f>
        <v>3.0427179531435922E-2</v>
      </c>
      <c r="D13" s="4">
        <f t="shared" si="9"/>
        <v>4.7436733706704239E-2</v>
      </c>
      <c r="E13" s="19" t="str">
        <f t="shared" ca="1" si="3"/>
        <v>=MÉDIA(D9:D11)</v>
      </c>
      <c r="G13" s="22" t="s">
        <v>34</v>
      </c>
      <c r="H13" s="4">
        <f>AVERAGE(H9:H11)</f>
        <v>4.7703437788629661E-3</v>
      </c>
      <c r="I13" s="4">
        <f t="shared" ref="I13:J13" si="10">AVERAGE(I9:I11)</f>
        <v>2.9261642944512747E-2</v>
      </c>
      <c r="J13" s="4">
        <f t="shared" si="10"/>
        <v>4.4134082770351857E-2</v>
      </c>
      <c r="K13" s="19" t="str">
        <f t="shared" ca="1" si="7"/>
        <v>=MÉDIA(J9:J11)</v>
      </c>
    </row>
    <row r="14" spans="1:11" x14ac:dyDescent="0.25">
      <c r="A14" s="23" t="s">
        <v>35</v>
      </c>
      <c r="B14" s="7">
        <f>_xlfn.STDEV.S(B9:B11)</f>
        <v>7.7927477807992113E-2</v>
      </c>
      <c r="C14" s="7">
        <f t="shared" ref="C14:D14" si="11">_xlfn.STDEV.S(C9:C11)</f>
        <v>4.7237089332755285E-2</v>
      </c>
      <c r="D14" s="7">
        <f t="shared" si="11"/>
        <v>8.625384707358838E-2</v>
      </c>
      <c r="E14" s="19" t="str">
        <f t="shared" ca="1" si="3"/>
        <v>=DESVPAD.A(D9:D11)</v>
      </c>
      <c r="G14" s="23" t="s">
        <v>36</v>
      </c>
      <c r="H14" s="7">
        <f>_xlfn.STDEV.S(H9:H11)</f>
        <v>7.8304411108615926E-2</v>
      </c>
      <c r="I14" s="7">
        <f t="shared" ref="I14:J14" si="12">_xlfn.STDEV.S(I9:I11)</f>
        <v>4.6394079474886343E-2</v>
      </c>
      <c r="J14" s="7">
        <f t="shared" si="12"/>
        <v>8.1010481255177763E-2</v>
      </c>
      <c r="K14" s="19" t="str">
        <f t="shared" ca="1" si="7"/>
        <v>=DESVPAD.A(J9:J11)</v>
      </c>
    </row>
    <row r="15" spans="1:11" x14ac:dyDescent="0.25">
      <c r="A15" t="s">
        <v>40</v>
      </c>
      <c r="B15" s="9">
        <f>B14/B13</f>
        <v>11.423501398199772</v>
      </c>
      <c r="C15" s="9">
        <f t="shared" ref="C15:D15" si="13">C14/C13</f>
        <v>1.5524636216758823</v>
      </c>
      <c r="D15" s="9">
        <f t="shared" si="13"/>
        <v>1.8182922881428936</v>
      </c>
      <c r="G15" t="s">
        <v>40</v>
      </c>
      <c r="H15" s="9">
        <f>H14/H13</f>
        <v>16.414836066024606</v>
      </c>
      <c r="I15" s="9">
        <f t="shared" ref="I15" si="14">I14/I13</f>
        <v>1.5854912713842111</v>
      </c>
      <c r="J15" s="9">
        <f t="shared" ref="J15" si="15">J14/J13</f>
        <v>1.8355537527925816</v>
      </c>
    </row>
    <row r="16" spans="1:11" x14ac:dyDescent="0.25">
      <c r="B16" t="s">
        <v>37</v>
      </c>
      <c r="C16" t="s">
        <v>38</v>
      </c>
      <c r="D16" t="s">
        <v>39</v>
      </c>
    </row>
    <row r="17" spans="1:11" x14ac:dyDescent="0.25">
      <c r="B17" s="2">
        <v>10</v>
      </c>
    </row>
    <row r="18" spans="1:11" x14ac:dyDescent="0.25">
      <c r="B18" s="2">
        <v>11</v>
      </c>
      <c r="C18" s="7">
        <f>B18/B17-1</f>
        <v>0.10000000000000009</v>
      </c>
      <c r="D18" s="25">
        <f>LN(B18/B17)</f>
        <v>9.5310179804324935E-2</v>
      </c>
      <c r="G18" t="s">
        <v>41</v>
      </c>
      <c r="H18" s="20">
        <f>H14</f>
        <v>7.8304411108615926E-2</v>
      </c>
      <c r="I18" s="19" t="str">
        <f t="shared" ref="I18" ca="1" si="16">_xlfn.FORMULATEXT(H18)</f>
        <v>=H14</v>
      </c>
    </row>
    <row r="19" spans="1:11" x14ac:dyDescent="0.25">
      <c r="B19" s="2">
        <v>10</v>
      </c>
      <c r="C19" s="7">
        <f>B19/B18-1</f>
        <v>-9.0909090909090939E-2</v>
      </c>
      <c r="D19" s="25">
        <f>LN(B19/B18)</f>
        <v>-9.5310179804324893E-2</v>
      </c>
      <c r="G19" t="s">
        <v>42</v>
      </c>
      <c r="H19" t="s">
        <v>43</v>
      </c>
      <c r="J19" s="21">
        <f>H18*SQRT(12)</f>
        <v>0.27125443699376717</v>
      </c>
      <c r="K19" s="19" t="str">
        <f t="shared" ref="K19" ca="1" si="17">_xlfn.FORMULATEXT(J19)</f>
        <v>=H18*RAIZ(12)</v>
      </c>
    </row>
    <row r="20" spans="1:11" x14ac:dyDescent="0.25">
      <c r="B20" s="22" t="s">
        <v>34</v>
      </c>
      <c r="C20" s="4">
        <f>AVERAGE(C18:C19)</f>
        <v>4.5454545454545747E-3</v>
      </c>
      <c r="D20" s="4">
        <f>AVERAGE(D18:D19)</f>
        <v>0</v>
      </c>
    </row>
    <row r="21" spans="1:11" x14ac:dyDescent="0.25">
      <c r="G21" t="s">
        <v>42</v>
      </c>
      <c r="H21" t="s">
        <v>44</v>
      </c>
    </row>
    <row r="24" spans="1:11" x14ac:dyDescent="0.25">
      <c r="A24" s="1" t="s">
        <v>11</v>
      </c>
      <c r="B24" t="s">
        <v>12</v>
      </c>
      <c r="C24" t="s">
        <v>13</v>
      </c>
      <c r="D24" t="s">
        <v>14</v>
      </c>
    </row>
    <row r="25" spans="1:11" x14ac:dyDescent="0.25">
      <c r="A25" s="17">
        <v>45658</v>
      </c>
      <c r="B25" s="2">
        <v>36.770000000000003</v>
      </c>
      <c r="C25" s="18">
        <v>120125.39</v>
      </c>
      <c r="D25" s="2">
        <v>2241.9</v>
      </c>
    </row>
    <row r="26" spans="1:11" x14ac:dyDescent="0.25">
      <c r="A26" s="17">
        <v>45689</v>
      </c>
      <c r="B26" s="2">
        <v>37.5</v>
      </c>
      <c r="C26" s="18">
        <v>125970.46</v>
      </c>
      <c r="D26" s="2">
        <v>2565.86</v>
      </c>
    </row>
    <row r="27" spans="1:11" x14ac:dyDescent="0.25">
      <c r="A27" s="17">
        <v>45717</v>
      </c>
      <c r="B27" s="2">
        <v>34.619999999999997</v>
      </c>
      <c r="C27" s="18">
        <v>123046.85</v>
      </c>
      <c r="D27" s="2">
        <v>2612.63</v>
      </c>
    </row>
    <row r="28" spans="1:11" x14ac:dyDescent="0.25">
      <c r="A28" s="17">
        <v>45748</v>
      </c>
      <c r="B28" s="2">
        <v>37.299999999999997</v>
      </c>
      <c r="C28" s="18">
        <v>131147.29</v>
      </c>
      <c r="D28" s="2">
        <v>2559.2800000000002</v>
      </c>
    </row>
    <row r="30" spans="1:11" x14ac:dyDescent="0.25">
      <c r="A30" t="s">
        <v>32</v>
      </c>
      <c r="B30" s="2">
        <f>AVERAGE(B25:B28)</f>
        <v>36.547499999999999</v>
      </c>
      <c r="C30" s="9">
        <f t="shared" ref="C30:D30" si="18">AVERAGE(C25:C28)</f>
        <v>125072.4975</v>
      </c>
      <c r="D30" s="2">
        <f t="shared" si="18"/>
        <v>2494.9175</v>
      </c>
    </row>
    <row r="31" spans="1:11" x14ac:dyDescent="0.25">
      <c r="A31" t="s">
        <v>33</v>
      </c>
      <c r="B31" s="2">
        <f>_xlfn.STDEV.S(B25:B28)</f>
        <v>1.3213976186851062</v>
      </c>
      <c r="C31" s="9">
        <f t="shared" ref="C31:D31" si="19">_xlfn.STDEV.S(C25:C28)</f>
        <v>4700.587232118809</v>
      </c>
      <c r="D31" s="2">
        <f t="shared" si="19"/>
        <v>170.34226102663624</v>
      </c>
    </row>
    <row r="32" spans="1:11" x14ac:dyDescent="0.25">
      <c r="A32" t="s">
        <v>40</v>
      </c>
      <c r="B32" s="9">
        <f>B31/B30</f>
        <v>3.6155622646832378E-2</v>
      </c>
      <c r="C32" s="9">
        <f t="shared" ref="C32:D32" si="20">C31/C30</f>
        <v>3.7582900526303226E-2</v>
      </c>
      <c r="D32" s="9">
        <f t="shared" si="20"/>
        <v>6.8275708926902892E-2</v>
      </c>
    </row>
    <row r="34" spans="1:8" ht="16.5" thickBot="1" x14ac:dyDescent="0.3"/>
    <row r="35" spans="1:8" ht="30" thickBot="1" x14ac:dyDescent="0.3">
      <c r="A35" s="26" t="s">
        <v>45</v>
      </c>
      <c r="B35" s="27" t="s">
        <v>46</v>
      </c>
      <c r="C35" s="27" t="s">
        <v>47</v>
      </c>
      <c r="D35" s="27" t="s">
        <v>33</v>
      </c>
      <c r="E35" s="28" t="s">
        <v>48</v>
      </c>
      <c r="G35" s="34" t="s">
        <v>42</v>
      </c>
    </row>
    <row r="36" spans="1:8" ht="17.25" thickTop="1" thickBot="1" x14ac:dyDescent="0.3">
      <c r="A36" s="29"/>
      <c r="B36" s="30" t="s">
        <v>13</v>
      </c>
      <c r="C36" s="30"/>
      <c r="D36" s="32">
        <v>6.0000000000000001E-3</v>
      </c>
      <c r="E36" s="31">
        <v>9.52</v>
      </c>
      <c r="G36" s="21">
        <f>D36*SQRT(252)</f>
        <v>9.5247047198325274E-2</v>
      </c>
      <c r="H36" s="19" t="str">
        <f t="shared" ref="H36:H38" ca="1" si="21">_xlfn.FORMULATEXT(G36)</f>
        <v>=D36*RAIZ(252)</v>
      </c>
    </row>
    <row r="37" spans="1:8" ht="16.5" thickBot="1" x14ac:dyDescent="0.3">
      <c r="A37" s="29" t="s">
        <v>49</v>
      </c>
      <c r="B37" s="30" t="s">
        <v>50</v>
      </c>
      <c r="C37" s="30" t="s">
        <v>51</v>
      </c>
      <c r="D37" s="32">
        <v>2.3309651665999999E-2</v>
      </c>
      <c r="E37" s="33">
        <v>37</v>
      </c>
      <c r="G37" s="21">
        <f t="shared" ref="G37:G38" si="22">D37*SQRT(252)</f>
        <v>0.37002924873467052</v>
      </c>
      <c r="H37" s="19" t="str">
        <f t="shared" ca="1" si="21"/>
        <v>=D37*RAIZ(252)</v>
      </c>
    </row>
    <row r="38" spans="1:8" ht="16.5" thickBot="1" x14ac:dyDescent="0.3">
      <c r="A38" s="29" t="s">
        <v>52</v>
      </c>
      <c r="B38" s="30" t="s">
        <v>53</v>
      </c>
      <c r="C38" s="30" t="s">
        <v>54</v>
      </c>
      <c r="D38" s="32">
        <v>1.0406232960099999E-2</v>
      </c>
      <c r="E38" s="31">
        <v>16.52</v>
      </c>
      <c r="G38" s="21">
        <f t="shared" si="22"/>
        <v>0.16519382698456878</v>
      </c>
      <c r="H38" s="19" t="str">
        <f t="shared" ca="1" si="21"/>
        <v>=D38*RAIZ(252)</v>
      </c>
    </row>
  </sheetData>
  <mergeCells count="2">
    <mergeCell ref="A7:D7"/>
    <mergeCell ref="G7:J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81AE-BE85-D34E-862B-0153A5BC5C3F}">
  <dimension ref="A1:O118"/>
  <sheetViews>
    <sheetView topLeftCell="D21" workbookViewId="0">
      <selection activeCell="N27" sqref="N27"/>
    </sheetView>
  </sheetViews>
  <sheetFormatPr defaultColWidth="8.875" defaultRowHeight="15" x14ac:dyDescent="0.25"/>
  <cols>
    <col min="1" max="16384" width="8.875" style="15"/>
  </cols>
  <sheetData>
    <row r="1" spans="1:15" x14ac:dyDescent="0.25">
      <c r="A1" s="15" t="s">
        <v>15</v>
      </c>
      <c r="B1" s="15" t="s">
        <v>16</v>
      </c>
      <c r="D1" s="15" t="s">
        <v>15</v>
      </c>
      <c r="E1" s="15" t="s">
        <v>17</v>
      </c>
      <c r="G1" s="15" t="s">
        <v>15</v>
      </c>
      <c r="H1" s="15" t="s">
        <v>18</v>
      </c>
      <c r="J1" s="15" t="s">
        <v>15</v>
      </c>
      <c r="K1" s="15" t="s">
        <v>19</v>
      </c>
    </row>
    <row r="2" spans="1:15" x14ac:dyDescent="0.25">
      <c r="A2" s="16">
        <v>40179</v>
      </c>
      <c r="B2" s="15">
        <v>65401</v>
      </c>
      <c r="D2" s="16">
        <v>40179</v>
      </c>
      <c r="E2" s="15">
        <v>1.8748</v>
      </c>
      <c r="G2" s="16">
        <v>40179</v>
      </c>
      <c r="H2" s="15">
        <v>26.594684306000001</v>
      </c>
      <c r="J2" s="16">
        <v>40179</v>
      </c>
      <c r="K2" s="15">
        <v>32.93316136</v>
      </c>
      <c r="O2" s="15">
        <f>CORREL(C3:C118,F3:F118)</f>
        <v>-0.62705843660404414</v>
      </c>
    </row>
    <row r="3" spans="1:15" x14ac:dyDescent="0.25">
      <c r="A3" s="16">
        <v>40210</v>
      </c>
      <c r="B3" s="15">
        <v>66503</v>
      </c>
      <c r="C3" s="15">
        <f>LN(B3/B2)</f>
        <v>1.6709510560080517E-2</v>
      </c>
      <c r="D3" s="16">
        <v>40210</v>
      </c>
      <c r="E3" s="15">
        <v>1.8109999999999999</v>
      </c>
      <c r="F3" s="15">
        <f>LN(E3/E2)</f>
        <v>-3.4622808165137665E-2</v>
      </c>
      <c r="G3" s="16">
        <v>40210</v>
      </c>
      <c r="H3" s="15">
        <v>26.937138537999999</v>
      </c>
      <c r="I3" s="15">
        <f>LN(H3/H2)</f>
        <v>1.279459153395872E-2</v>
      </c>
      <c r="J3" s="16">
        <v>40210</v>
      </c>
      <c r="K3" s="15">
        <v>33.970108171</v>
      </c>
      <c r="L3" s="15">
        <f>LN(K3/K2)</f>
        <v>3.1000872267377404E-2</v>
      </c>
    </row>
    <row r="4" spans="1:15" x14ac:dyDescent="0.25">
      <c r="A4" s="16">
        <v>40238</v>
      </c>
      <c r="B4" s="15">
        <v>70371</v>
      </c>
      <c r="C4" s="15">
        <f t="shared" ref="C4:C67" si="0">LN(B4/B3)</f>
        <v>5.6534187052383902E-2</v>
      </c>
      <c r="D4" s="16">
        <v>40238</v>
      </c>
      <c r="E4" s="15">
        <v>1.7809999999999999</v>
      </c>
      <c r="F4" s="15">
        <f t="shared" ref="F4:F67" si="1">LN(E4/E3)</f>
        <v>-1.6704174593751786E-2</v>
      </c>
      <c r="G4" s="16">
        <v>40238</v>
      </c>
      <c r="H4" s="15">
        <v>27.544216494</v>
      </c>
      <c r="I4" s="15">
        <f t="shared" ref="I4:I67" si="2">LN(H4/H3)</f>
        <v>2.2286636707517789E-2</v>
      </c>
      <c r="J4" s="16">
        <v>40238</v>
      </c>
      <c r="K4" s="15">
        <v>38.481500138000001</v>
      </c>
      <c r="L4" s="15">
        <f t="shared" ref="L4:L67" si="3">LN(K4/K3)</f>
        <v>0.12469664343576754</v>
      </c>
    </row>
    <row r="5" spans="1:15" x14ac:dyDescent="0.25">
      <c r="A5" s="16">
        <v>40269</v>
      </c>
      <c r="B5" s="15">
        <v>67529</v>
      </c>
      <c r="C5" s="15">
        <f t="shared" si="0"/>
        <v>-4.1224111234866564E-2</v>
      </c>
      <c r="D5" s="16">
        <v>40269</v>
      </c>
      <c r="E5" s="15">
        <v>1.7305999999999999</v>
      </c>
      <c r="F5" s="15">
        <f t="shared" si="1"/>
        <v>-2.8706835117023211E-2</v>
      </c>
      <c r="G5" s="16">
        <v>40269</v>
      </c>
      <c r="H5" s="15">
        <v>25.720818743999999</v>
      </c>
      <c r="I5" s="15">
        <f t="shared" si="2"/>
        <v>-6.8491854105319938E-2</v>
      </c>
      <c r="J5" s="16">
        <v>40269</v>
      </c>
      <c r="K5" s="15">
        <v>36.008152516000003</v>
      </c>
      <c r="L5" s="15">
        <f t="shared" si="3"/>
        <v>-6.643223831690577E-2</v>
      </c>
    </row>
    <row r="6" spans="1:15" x14ac:dyDescent="0.25">
      <c r="A6" s="16">
        <v>40299</v>
      </c>
      <c r="B6" s="15">
        <v>63046</v>
      </c>
      <c r="C6" s="15">
        <f t="shared" si="0"/>
        <v>-6.8692516558238118E-2</v>
      </c>
      <c r="D6" s="16">
        <v>40299</v>
      </c>
      <c r="E6" s="15">
        <v>1.8167</v>
      </c>
      <c r="F6" s="15">
        <f t="shared" si="1"/>
        <v>4.8553499272061026E-2</v>
      </c>
      <c r="G6" s="16">
        <v>40299</v>
      </c>
      <c r="H6" s="15">
        <v>23.381021126</v>
      </c>
      <c r="I6" s="15">
        <f t="shared" si="2"/>
        <v>-9.5376101550550249E-2</v>
      </c>
      <c r="J6" s="16">
        <v>40299</v>
      </c>
      <c r="K6" s="15">
        <v>33.905981652999998</v>
      </c>
      <c r="L6" s="15">
        <f t="shared" si="3"/>
        <v>-6.0153922834021753E-2</v>
      </c>
    </row>
    <row r="7" spans="1:15" x14ac:dyDescent="0.25">
      <c r="A7" s="16">
        <v>40330</v>
      </c>
      <c r="B7" s="15">
        <v>60935</v>
      </c>
      <c r="C7" s="15">
        <f t="shared" si="0"/>
        <v>-3.4056896410026044E-2</v>
      </c>
      <c r="D7" s="16">
        <v>40330</v>
      </c>
      <c r="E7" s="15">
        <v>1.8015000000000001</v>
      </c>
      <c r="F7" s="15">
        <f t="shared" si="1"/>
        <v>-8.4020172565513768E-3</v>
      </c>
      <c r="G7" s="16">
        <v>40330</v>
      </c>
      <c r="H7" s="15">
        <v>21.216696873</v>
      </c>
      <c r="I7" s="15">
        <f t="shared" si="2"/>
        <v>-9.713617024059179E-2</v>
      </c>
      <c r="J7" s="16">
        <v>40330</v>
      </c>
      <c r="K7" s="15">
        <v>29.599921983000002</v>
      </c>
      <c r="L7" s="15">
        <f t="shared" si="3"/>
        <v>-0.13581972314486582</v>
      </c>
    </row>
    <row r="8" spans="1:15" x14ac:dyDescent="0.25">
      <c r="A8" s="16">
        <v>40360</v>
      </c>
      <c r="B8" s="15">
        <v>67515</v>
      </c>
      <c r="C8" s="15">
        <f t="shared" si="0"/>
        <v>0.10254207313753995</v>
      </c>
      <c r="D8" s="16">
        <v>40360</v>
      </c>
      <c r="E8" s="15">
        <v>1.7572000000000001</v>
      </c>
      <c r="F8" s="15">
        <f t="shared" si="1"/>
        <v>-2.4898018086523411E-2</v>
      </c>
      <c r="G8" s="16">
        <v>40360</v>
      </c>
      <c r="H8" s="15">
        <v>21.998697240999999</v>
      </c>
      <c r="I8" s="15">
        <f t="shared" si="2"/>
        <v>3.6194775244709362E-2</v>
      </c>
      <c r="J8" s="16">
        <v>40360</v>
      </c>
      <c r="K8" s="15">
        <v>32.922708184999998</v>
      </c>
      <c r="L8" s="15">
        <f t="shared" si="3"/>
        <v>0.10639091245214018</v>
      </c>
    </row>
    <row r="9" spans="1:15" x14ac:dyDescent="0.25">
      <c r="A9" s="16">
        <v>40391</v>
      </c>
      <c r="B9" s="15">
        <v>65145</v>
      </c>
      <c r="C9" s="15">
        <f t="shared" si="0"/>
        <v>-3.5734240758110797E-2</v>
      </c>
      <c r="D9" s="16">
        <v>40391</v>
      </c>
      <c r="E9" s="15">
        <v>1.756</v>
      </c>
      <c r="F9" s="15">
        <f t="shared" si="1"/>
        <v>-6.8313790656256178E-4</v>
      </c>
      <c r="G9" s="16">
        <v>40391</v>
      </c>
      <c r="H9" s="15">
        <v>20.733672697999999</v>
      </c>
      <c r="I9" s="15">
        <f t="shared" si="2"/>
        <v>-5.9224156272970431E-2</v>
      </c>
      <c r="J9" s="16">
        <v>40391</v>
      </c>
      <c r="K9" s="15">
        <v>31.790248397999999</v>
      </c>
      <c r="L9" s="15">
        <f t="shared" si="3"/>
        <v>-3.5003049462032733E-2</v>
      </c>
    </row>
    <row r="10" spans="1:15" x14ac:dyDescent="0.25">
      <c r="A10" s="16">
        <v>40422</v>
      </c>
      <c r="B10" s="15">
        <v>69429</v>
      </c>
      <c r="C10" s="15">
        <f t="shared" si="0"/>
        <v>6.3689093010739828E-2</v>
      </c>
      <c r="D10" s="16">
        <v>40422</v>
      </c>
      <c r="E10" s="15">
        <v>1.6941999999999999</v>
      </c>
      <c r="F10" s="15">
        <f t="shared" si="1"/>
        <v>-3.5827842197611419E-2</v>
      </c>
      <c r="G10" s="16">
        <v>40422</v>
      </c>
      <c r="H10" s="15">
        <v>21.712276589999998</v>
      </c>
      <c r="I10" s="15">
        <f t="shared" si="2"/>
        <v>4.6118763035883956E-2</v>
      </c>
      <c r="J10" s="16">
        <v>40422</v>
      </c>
      <c r="K10" s="15">
        <v>35.465656809000002</v>
      </c>
      <c r="L10" s="15">
        <f t="shared" si="3"/>
        <v>0.10940522579641826</v>
      </c>
    </row>
    <row r="11" spans="1:15" x14ac:dyDescent="0.25">
      <c r="A11" s="16">
        <v>40452</v>
      </c>
      <c r="B11" s="15">
        <v>70673</v>
      </c>
      <c r="C11" s="15">
        <f t="shared" si="0"/>
        <v>1.7758956963908428E-2</v>
      </c>
      <c r="D11" s="16">
        <v>40452</v>
      </c>
      <c r="E11" s="15">
        <v>1.7014</v>
      </c>
      <c r="F11" s="15">
        <f t="shared" si="1"/>
        <v>4.2407885443334729E-3</v>
      </c>
      <c r="G11" s="16">
        <v>40452</v>
      </c>
      <c r="H11" s="15">
        <v>20.566593985000001</v>
      </c>
      <c r="I11" s="15">
        <f t="shared" si="2"/>
        <v>-5.4209733767323284E-2</v>
      </c>
      <c r="J11" s="16">
        <v>40452</v>
      </c>
      <c r="K11" s="15">
        <v>36.726540513000003</v>
      </c>
      <c r="L11" s="15">
        <f t="shared" si="3"/>
        <v>3.4934854033209166E-2</v>
      </c>
    </row>
    <row r="12" spans="1:15" x14ac:dyDescent="0.25">
      <c r="A12" s="16">
        <v>40483</v>
      </c>
      <c r="B12" s="15">
        <v>67705</v>
      </c>
      <c r="C12" s="15">
        <f t="shared" si="0"/>
        <v>-4.2903572194755789E-2</v>
      </c>
      <c r="D12" s="16">
        <v>40483</v>
      </c>
      <c r="E12" s="15">
        <v>1.7161</v>
      </c>
      <c r="F12" s="15">
        <f t="shared" si="1"/>
        <v>8.602832866473363E-3</v>
      </c>
      <c r="G12" s="16">
        <v>40483</v>
      </c>
      <c r="H12" s="15">
        <v>19.668067703999998</v>
      </c>
      <c r="I12" s="15">
        <f t="shared" si="2"/>
        <v>-4.4671716395708862E-2</v>
      </c>
      <c r="J12" s="16">
        <v>40483</v>
      </c>
      <c r="K12" s="15">
        <v>36.699132646999999</v>
      </c>
      <c r="L12" s="15">
        <f t="shared" si="3"/>
        <v>-7.4654725230021606E-4</v>
      </c>
    </row>
    <row r="13" spans="1:15" x14ac:dyDescent="0.25">
      <c r="A13" s="16">
        <v>40513</v>
      </c>
      <c r="B13" s="15">
        <v>69304</v>
      </c>
      <c r="C13" s="15">
        <f t="shared" si="0"/>
        <v>2.3342592153051844E-2</v>
      </c>
      <c r="D13" s="16">
        <v>40513</v>
      </c>
      <c r="E13" s="15">
        <v>1.6661999999999999</v>
      </c>
      <c r="F13" s="15">
        <f t="shared" si="1"/>
        <v>-2.9508689867448559E-2</v>
      </c>
      <c r="G13" s="16">
        <v>40513</v>
      </c>
      <c r="H13" s="15">
        <v>21.998364413000001</v>
      </c>
      <c r="I13" s="15">
        <f t="shared" si="2"/>
        <v>0.11197171384430307</v>
      </c>
      <c r="J13" s="16">
        <v>40513</v>
      </c>
      <c r="K13" s="15">
        <v>37.911930720000001</v>
      </c>
      <c r="L13" s="15">
        <f t="shared" si="3"/>
        <v>3.2512736089356294E-2</v>
      </c>
    </row>
    <row r="14" spans="1:15" x14ac:dyDescent="0.25">
      <c r="A14" s="16">
        <v>40544</v>
      </c>
      <c r="B14" s="15">
        <v>66574</v>
      </c>
      <c r="C14" s="15">
        <f t="shared" si="0"/>
        <v>-4.0188513654052772E-2</v>
      </c>
      <c r="D14" s="16">
        <v>40544</v>
      </c>
      <c r="E14" s="15">
        <v>1.6734</v>
      </c>
      <c r="F14" s="15">
        <f t="shared" si="1"/>
        <v>4.3119003206893679E-3</v>
      </c>
      <c r="G14" s="16">
        <v>40544</v>
      </c>
      <c r="H14" s="15">
        <v>21.837145179</v>
      </c>
      <c r="I14" s="15">
        <f t="shared" si="2"/>
        <v>-7.3556786454940758E-3</v>
      </c>
      <c r="J14" s="16">
        <v>40544</v>
      </c>
      <c r="K14" s="15">
        <v>39.320907771999998</v>
      </c>
      <c r="L14" s="15">
        <f t="shared" si="3"/>
        <v>3.6490524513775449E-2</v>
      </c>
    </row>
    <row r="15" spans="1:15" x14ac:dyDescent="0.25">
      <c r="A15" s="16">
        <v>40575</v>
      </c>
      <c r="B15" s="15">
        <v>67383</v>
      </c>
      <c r="C15" s="15">
        <f t="shared" si="0"/>
        <v>1.2078649650981212E-2</v>
      </c>
      <c r="D15" s="16">
        <v>40575</v>
      </c>
      <c r="E15" s="15">
        <v>1.6612</v>
      </c>
      <c r="F15" s="15">
        <f t="shared" si="1"/>
        <v>-7.3172521048998126E-3</v>
      </c>
      <c r="G15" s="16">
        <v>40575</v>
      </c>
      <c r="H15" s="15">
        <v>23.038228469</v>
      </c>
      <c r="I15" s="15">
        <f t="shared" si="2"/>
        <v>5.3542516419763084E-2</v>
      </c>
      <c r="J15" s="16">
        <v>40575</v>
      </c>
      <c r="K15" s="15">
        <v>38.783586327000002</v>
      </c>
      <c r="L15" s="15">
        <f t="shared" si="3"/>
        <v>-1.375925747132052E-2</v>
      </c>
    </row>
    <row r="16" spans="1:15" x14ac:dyDescent="0.25">
      <c r="A16" s="16">
        <v>40603</v>
      </c>
      <c r="B16" s="15">
        <v>68586</v>
      </c>
      <c r="C16" s="15">
        <f t="shared" si="0"/>
        <v>1.7695671686928753E-2</v>
      </c>
      <c r="D16" s="16">
        <v>40603</v>
      </c>
      <c r="E16" s="15">
        <v>1.6287</v>
      </c>
      <c r="F16" s="15">
        <f t="shared" si="1"/>
        <v>-1.9758082177083389E-2</v>
      </c>
      <c r="G16" s="16">
        <v>40603</v>
      </c>
      <c r="H16" s="15">
        <v>23.107252845000001</v>
      </c>
      <c r="I16" s="15">
        <f t="shared" si="2"/>
        <v>2.991600716400446E-3</v>
      </c>
      <c r="J16" s="16">
        <v>40603</v>
      </c>
      <c r="K16" s="15">
        <v>36.751409068000001</v>
      </c>
      <c r="L16" s="15">
        <f t="shared" si="3"/>
        <v>-5.3820557406122578E-2</v>
      </c>
    </row>
    <row r="17" spans="1:12" x14ac:dyDescent="0.25">
      <c r="A17" s="16">
        <v>40634</v>
      </c>
      <c r="B17" s="15">
        <v>66132</v>
      </c>
      <c r="C17" s="15">
        <f t="shared" si="0"/>
        <v>-3.6435687582597735E-2</v>
      </c>
      <c r="D17" s="16">
        <v>40634</v>
      </c>
      <c r="E17" s="15">
        <v>1.5732999999999999</v>
      </c>
      <c r="F17" s="15">
        <f t="shared" si="1"/>
        <v>-3.4606826333137594E-2</v>
      </c>
      <c r="G17" s="16">
        <v>40634</v>
      </c>
      <c r="H17" s="15">
        <v>20.850461802000002</v>
      </c>
      <c r="I17" s="15">
        <f t="shared" si="2"/>
        <v>-0.1027704474451243</v>
      </c>
      <c r="J17" s="16">
        <v>40634</v>
      </c>
      <c r="K17" s="15">
        <v>36.105271641000002</v>
      </c>
      <c r="L17" s="15">
        <f t="shared" si="3"/>
        <v>-1.773768339597738E-2</v>
      </c>
    </row>
    <row r="18" spans="1:12" x14ac:dyDescent="0.25">
      <c r="A18" s="16">
        <v>40664</v>
      </c>
      <c r="B18" s="15">
        <v>64620</v>
      </c>
      <c r="C18" s="15">
        <f t="shared" si="0"/>
        <v>-2.3128784292746382E-2</v>
      </c>
      <c r="D18" s="16">
        <v>40664</v>
      </c>
      <c r="E18" s="15">
        <v>1.5799000000000001</v>
      </c>
      <c r="F18" s="15">
        <f t="shared" si="1"/>
        <v>4.1862296324258301E-3</v>
      </c>
      <c r="G18" s="16">
        <v>40664</v>
      </c>
      <c r="H18" s="15">
        <v>19.785420174999999</v>
      </c>
      <c r="I18" s="15">
        <f t="shared" si="2"/>
        <v>-5.243078511635494E-2</v>
      </c>
      <c r="J18" s="16">
        <v>40664</v>
      </c>
      <c r="K18" s="15">
        <v>35.031664413000001</v>
      </c>
      <c r="L18" s="15">
        <f t="shared" si="3"/>
        <v>-3.0186533502666958E-2</v>
      </c>
    </row>
    <row r="19" spans="1:12" x14ac:dyDescent="0.25">
      <c r="A19" s="16">
        <v>40695</v>
      </c>
      <c r="B19" s="15">
        <v>62403</v>
      </c>
      <c r="C19" s="15">
        <f t="shared" si="0"/>
        <v>-3.4910609253551564E-2</v>
      </c>
      <c r="D19" s="16">
        <v>40695</v>
      </c>
      <c r="E19" s="15">
        <v>1.5610999999999999</v>
      </c>
      <c r="F19" s="15">
        <f t="shared" si="1"/>
        <v>-1.1970852916182441E-2</v>
      </c>
      <c r="G19" s="16">
        <v>40695</v>
      </c>
      <c r="H19" s="15">
        <v>19.481534519</v>
      </c>
      <c r="I19" s="15">
        <f t="shared" si="2"/>
        <v>-1.5478242472303737E-2</v>
      </c>
      <c r="J19" s="16">
        <v>40695</v>
      </c>
      <c r="K19" s="15">
        <v>34.501832274999998</v>
      </c>
      <c r="L19" s="15">
        <f t="shared" si="3"/>
        <v>-1.5239917964212219E-2</v>
      </c>
    </row>
    <row r="20" spans="1:12" x14ac:dyDescent="0.25">
      <c r="A20" s="16">
        <v>40725</v>
      </c>
      <c r="B20" s="15">
        <v>58823</v>
      </c>
      <c r="C20" s="15">
        <f t="shared" si="0"/>
        <v>-5.9080416257379906E-2</v>
      </c>
      <c r="D20" s="16">
        <v>40725</v>
      </c>
      <c r="E20" s="15">
        <v>1.5563</v>
      </c>
      <c r="F20" s="15">
        <f t="shared" si="1"/>
        <v>-3.0794917516565202E-3</v>
      </c>
      <c r="G20" s="16">
        <v>40725</v>
      </c>
      <c r="H20" s="15">
        <v>19.300845750000001</v>
      </c>
      <c r="I20" s="15">
        <f t="shared" si="2"/>
        <v>-9.3181529936092501E-3</v>
      </c>
      <c r="J20" s="16">
        <v>40725</v>
      </c>
      <c r="K20" s="15">
        <v>34.982864085000003</v>
      </c>
      <c r="L20" s="15">
        <f t="shared" si="3"/>
        <v>1.3845911978611609E-2</v>
      </c>
    </row>
    <row r="21" spans="1:12" x14ac:dyDescent="0.25">
      <c r="A21" s="16">
        <v>40756</v>
      </c>
      <c r="B21" s="15">
        <v>56495</v>
      </c>
      <c r="C21" s="15">
        <f t="shared" si="0"/>
        <v>-4.0380796224211146E-2</v>
      </c>
      <c r="D21" s="16">
        <v>40756</v>
      </c>
      <c r="E21" s="15">
        <v>1.5871999999999999</v>
      </c>
      <c r="F21" s="15">
        <f t="shared" si="1"/>
        <v>1.9660248319643948E-2</v>
      </c>
      <c r="G21" s="16">
        <v>40756</v>
      </c>
      <c r="H21" s="15">
        <v>17.232046234999999</v>
      </c>
      <c r="I21" s="15">
        <f t="shared" si="2"/>
        <v>-0.11337811269420665</v>
      </c>
      <c r="J21" s="16">
        <v>40756</v>
      </c>
      <c r="K21" s="15">
        <v>31.913869465000001</v>
      </c>
      <c r="L21" s="15">
        <f t="shared" si="3"/>
        <v>-9.1817649257282058E-2</v>
      </c>
    </row>
    <row r="22" spans="1:12" x14ac:dyDescent="0.25">
      <c r="A22" s="16">
        <v>40787</v>
      </c>
      <c r="B22" s="15">
        <v>52324</v>
      </c>
      <c r="C22" s="15">
        <f t="shared" si="0"/>
        <v>-7.6696981835228939E-2</v>
      </c>
      <c r="D22" s="16">
        <v>40787</v>
      </c>
      <c r="E22" s="15">
        <v>1.8544</v>
      </c>
      <c r="F22" s="15">
        <f t="shared" si="1"/>
        <v>0.155589736054879</v>
      </c>
      <c r="G22" s="16">
        <v>40787</v>
      </c>
      <c r="H22" s="15">
        <v>15.823657839999999</v>
      </c>
      <c r="I22" s="15">
        <f t="shared" si="2"/>
        <v>-8.5264651704819963E-2</v>
      </c>
      <c r="J22" s="16">
        <v>40787</v>
      </c>
      <c r="K22" s="15">
        <v>30.382288676000002</v>
      </c>
      <c r="L22" s="15">
        <f t="shared" si="3"/>
        <v>-4.9180865481377838E-2</v>
      </c>
    </row>
    <row r="23" spans="1:12" x14ac:dyDescent="0.25">
      <c r="A23" s="16">
        <v>40817</v>
      </c>
      <c r="B23" s="15">
        <v>58338</v>
      </c>
      <c r="C23" s="15">
        <f t="shared" si="0"/>
        <v>0.10879852522959434</v>
      </c>
      <c r="D23" s="16">
        <v>40817</v>
      </c>
      <c r="E23" s="15">
        <v>1.6884999999999999</v>
      </c>
      <c r="F23" s="15">
        <f t="shared" si="1"/>
        <v>-9.3720632759864905E-2</v>
      </c>
      <c r="G23" s="16">
        <v>40817</v>
      </c>
      <c r="H23" s="15">
        <v>17.662847391</v>
      </c>
      <c r="I23" s="15">
        <f t="shared" si="2"/>
        <v>0.10995726430226853</v>
      </c>
      <c r="J23" s="16">
        <v>40817</v>
      </c>
      <c r="K23" s="15">
        <v>31.878717930000001</v>
      </c>
      <c r="L23" s="15">
        <f t="shared" si="3"/>
        <v>4.8078808330440828E-2</v>
      </c>
    </row>
    <row r="24" spans="1:12" x14ac:dyDescent="0.25">
      <c r="A24" s="16">
        <v>40848</v>
      </c>
      <c r="B24" s="15">
        <v>56874</v>
      </c>
      <c r="C24" s="15">
        <f t="shared" si="0"/>
        <v>-2.5415387356615433E-2</v>
      </c>
      <c r="D24" s="16">
        <v>40848</v>
      </c>
      <c r="E24" s="15">
        <v>1.8109</v>
      </c>
      <c r="F24" s="15">
        <f t="shared" si="1"/>
        <v>6.9983398421674503E-2</v>
      </c>
      <c r="G24" s="16">
        <v>40848</v>
      </c>
      <c r="H24" s="15">
        <v>18.43552691</v>
      </c>
      <c r="I24" s="15">
        <f t="shared" si="2"/>
        <v>4.2816197225189541E-2</v>
      </c>
      <c r="J24" s="16">
        <v>40848</v>
      </c>
      <c r="K24" s="15">
        <v>30.376312098</v>
      </c>
      <c r="L24" s="15">
        <f t="shared" si="3"/>
        <v>-4.827554024800134E-2</v>
      </c>
    </row>
    <row r="25" spans="1:12" x14ac:dyDescent="0.25">
      <c r="A25" s="16">
        <v>40878</v>
      </c>
      <c r="B25" s="15">
        <v>56754</v>
      </c>
      <c r="C25" s="15">
        <f t="shared" si="0"/>
        <v>-2.1121562398711091E-3</v>
      </c>
      <c r="D25" s="16">
        <v>40878</v>
      </c>
      <c r="E25" s="15">
        <v>1.8757999999999999</v>
      </c>
      <c r="F25" s="15">
        <f t="shared" si="1"/>
        <v>3.521127582754139E-2</v>
      </c>
      <c r="G25" s="16">
        <v>40878</v>
      </c>
      <c r="H25" s="15">
        <v>17.967323052000001</v>
      </c>
      <c r="I25" s="15">
        <f t="shared" si="2"/>
        <v>-2.572489123666899E-2</v>
      </c>
      <c r="J25" s="16">
        <v>40878</v>
      </c>
      <c r="K25" s="15">
        <v>28.771801014000001</v>
      </c>
      <c r="L25" s="15">
        <f t="shared" si="3"/>
        <v>-5.4267321348506377E-2</v>
      </c>
    </row>
    <row r="26" spans="1:12" x14ac:dyDescent="0.25">
      <c r="A26" s="16">
        <v>40909</v>
      </c>
      <c r="B26" s="15">
        <v>63072</v>
      </c>
      <c r="C26" s="15">
        <f t="shared" si="0"/>
        <v>0.10555079251122118</v>
      </c>
      <c r="D26" s="16">
        <v>40909</v>
      </c>
      <c r="E26" s="15">
        <v>1.7391000000000001</v>
      </c>
      <c r="F26" s="15">
        <f t="shared" si="1"/>
        <v>-7.5667497061041103E-2</v>
      </c>
      <c r="G26" s="16">
        <v>40909</v>
      </c>
      <c r="H26" s="15">
        <v>20.733270507</v>
      </c>
      <c r="I26" s="15">
        <f t="shared" si="2"/>
        <v>0.14318495877742668</v>
      </c>
      <c r="J26" s="16">
        <v>40909</v>
      </c>
      <c r="K26" s="15">
        <v>32.600747917</v>
      </c>
      <c r="L26" s="15">
        <f t="shared" si="3"/>
        <v>0.12493945432752322</v>
      </c>
    </row>
    <row r="27" spans="1:12" x14ac:dyDescent="0.25">
      <c r="A27" s="16">
        <v>40940</v>
      </c>
      <c r="B27" s="15">
        <v>65811</v>
      </c>
      <c r="C27" s="15">
        <f t="shared" si="0"/>
        <v>4.2510066641350444E-2</v>
      </c>
      <c r="D27" s="16">
        <v>40940</v>
      </c>
      <c r="E27" s="15">
        <v>1.7092000000000001</v>
      </c>
      <c r="F27" s="15">
        <f t="shared" si="1"/>
        <v>-1.7342313243927012E-2</v>
      </c>
      <c r="G27" s="16">
        <v>40940</v>
      </c>
      <c r="H27" s="15">
        <v>20.513870819000001</v>
      </c>
      <c r="I27" s="15">
        <f t="shared" si="2"/>
        <v>-1.0638398209698318E-2</v>
      </c>
      <c r="J27" s="16">
        <v>40940</v>
      </c>
      <c r="K27" s="15">
        <v>31.762026214999999</v>
      </c>
      <c r="L27" s="15">
        <f t="shared" si="3"/>
        <v>-2.606379830329714E-2</v>
      </c>
    </row>
    <row r="28" spans="1:12" x14ac:dyDescent="0.25">
      <c r="A28" s="16">
        <v>40969</v>
      </c>
      <c r="B28" s="15">
        <v>64510</v>
      </c>
      <c r="C28" s="15">
        <f t="shared" si="0"/>
        <v>-1.9966747067509831E-2</v>
      </c>
      <c r="D28" s="16">
        <v>40969</v>
      </c>
      <c r="E28" s="15">
        <v>1.8221000000000001</v>
      </c>
      <c r="F28" s="15">
        <f t="shared" si="1"/>
        <v>6.3964257285963055E-2</v>
      </c>
      <c r="G28" s="16">
        <v>40969</v>
      </c>
      <c r="H28" s="15">
        <v>19.802891073000001</v>
      </c>
      <c r="I28" s="15">
        <f t="shared" si="2"/>
        <v>-3.5273341824338535E-2</v>
      </c>
      <c r="J28" s="16">
        <v>40969</v>
      </c>
      <c r="K28" s="15">
        <v>31.287966122</v>
      </c>
      <c r="L28" s="15">
        <f t="shared" si="3"/>
        <v>-1.5037877372173018E-2</v>
      </c>
    </row>
    <row r="29" spans="1:12" x14ac:dyDescent="0.25">
      <c r="A29" s="16">
        <v>41000</v>
      </c>
      <c r="B29" s="15">
        <v>61820</v>
      </c>
      <c r="C29" s="15">
        <f t="shared" si="0"/>
        <v>-4.2593313840180037E-2</v>
      </c>
      <c r="D29" s="16">
        <v>41000</v>
      </c>
      <c r="E29" s="15">
        <v>1.8917999999999999</v>
      </c>
      <c r="F29" s="15">
        <f t="shared" si="1"/>
        <v>3.7539074723237052E-2</v>
      </c>
      <c r="G29" s="16">
        <v>41000</v>
      </c>
      <c r="H29" s="15">
        <v>18.055826592999999</v>
      </c>
      <c r="I29" s="15">
        <f t="shared" si="2"/>
        <v>-9.2359505203873205E-2</v>
      </c>
      <c r="J29" s="16">
        <v>41000</v>
      </c>
      <c r="K29" s="15">
        <v>31.851103968</v>
      </c>
      <c r="L29" s="15">
        <f t="shared" si="3"/>
        <v>1.783848821985801E-2</v>
      </c>
    </row>
    <row r="30" spans="1:12" x14ac:dyDescent="0.25">
      <c r="A30" s="16">
        <v>41030</v>
      </c>
      <c r="B30" s="15">
        <v>54490</v>
      </c>
      <c r="C30" s="15">
        <f t="shared" si="0"/>
        <v>-0.12620973810896333</v>
      </c>
      <c r="D30" s="16">
        <v>41030</v>
      </c>
      <c r="E30" s="15">
        <v>2.0223</v>
      </c>
      <c r="F30" s="15">
        <f t="shared" si="1"/>
        <v>6.6706720748432674E-2</v>
      </c>
      <c r="G30" s="16">
        <v>41030</v>
      </c>
      <c r="H30" s="15">
        <v>16.391816098</v>
      </c>
      <c r="I30" s="15">
        <f t="shared" si="2"/>
        <v>-9.6686243761127347E-2</v>
      </c>
      <c r="J30" s="16">
        <v>41030</v>
      </c>
      <c r="K30" s="15">
        <v>28.105234699</v>
      </c>
      <c r="L30" s="15">
        <f t="shared" si="3"/>
        <v>-0.12511619568229976</v>
      </c>
    </row>
    <row r="31" spans="1:12" x14ac:dyDescent="0.25">
      <c r="A31" s="16">
        <v>41061</v>
      </c>
      <c r="B31" s="15">
        <v>54354</v>
      </c>
      <c r="C31" s="15">
        <f t="shared" si="0"/>
        <v>-2.4989906798012097E-3</v>
      </c>
      <c r="D31" s="16">
        <v>41061</v>
      </c>
      <c r="E31" s="15">
        <v>2.0213000000000001</v>
      </c>
      <c r="F31" s="15">
        <f t="shared" si="1"/>
        <v>-4.9460877455061842E-4</v>
      </c>
      <c r="G31" s="16">
        <v>41061</v>
      </c>
      <c r="H31" s="15">
        <v>15.637775419</v>
      </c>
      <c r="I31" s="15">
        <f t="shared" si="2"/>
        <v>-4.7092703500645594E-2</v>
      </c>
      <c r="J31" s="16">
        <v>41061</v>
      </c>
      <c r="K31" s="15">
        <v>30.004338081</v>
      </c>
      <c r="L31" s="15">
        <f t="shared" si="3"/>
        <v>6.5386126697348043E-2</v>
      </c>
    </row>
    <row r="32" spans="1:12" x14ac:dyDescent="0.25">
      <c r="A32" s="16">
        <v>41091</v>
      </c>
      <c r="B32" s="15">
        <v>56097</v>
      </c>
      <c r="C32" s="15">
        <f t="shared" si="0"/>
        <v>3.15641272477271E-2</v>
      </c>
      <c r="D32" s="16">
        <v>41091</v>
      </c>
      <c r="E32" s="15">
        <v>2.0499000000000001</v>
      </c>
      <c r="F32" s="15">
        <f t="shared" si="1"/>
        <v>1.4050142701890034E-2</v>
      </c>
      <c r="G32" s="16">
        <v>41091</v>
      </c>
      <c r="H32" s="15">
        <v>16.708855927999998</v>
      </c>
      <c r="I32" s="15">
        <f t="shared" si="2"/>
        <v>6.6249385592030807E-2</v>
      </c>
      <c r="J32" s="16">
        <v>41091</v>
      </c>
      <c r="K32" s="15">
        <v>27.776256159999999</v>
      </c>
      <c r="L32" s="15">
        <f t="shared" si="3"/>
        <v>-7.716041312254833E-2</v>
      </c>
    </row>
    <row r="33" spans="1:12" x14ac:dyDescent="0.25">
      <c r="A33" s="16">
        <v>41122</v>
      </c>
      <c r="B33" s="15">
        <v>57061</v>
      </c>
      <c r="C33" s="15">
        <f t="shared" si="0"/>
        <v>1.7038535880699941E-2</v>
      </c>
      <c r="D33" s="16">
        <v>41122</v>
      </c>
      <c r="E33" s="15">
        <v>2.0371999999999999</v>
      </c>
      <c r="F33" s="15">
        <f t="shared" si="1"/>
        <v>-6.2146954443927649E-3</v>
      </c>
      <c r="G33" s="16">
        <v>41122</v>
      </c>
      <c r="H33" s="15">
        <v>17.779936436</v>
      </c>
      <c r="I33" s="15">
        <f t="shared" si="2"/>
        <v>6.2131781095469116E-2</v>
      </c>
      <c r="J33" s="16">
        <v>41122</v>
      </c>
      <c r="K33" s="15">
        <v>25.256579626000001</v>
      </c>
      <c r="L33" s="15">
        <f t="shared" si="3"/>
        <v>-9.5094859761626141E-2</v>
      </c>
    </row>
    <row r="34" spans="1:12" x14ac:dyDescent="0.25">
      <c r="A34" s="16">
        <v>41153</v>
      </c>
      <c r="B34" s="15">
        <v>59175</v>
      </c>
      <c r="C34" s="15">
        <f t="shared" si="0"/>
        <v>3.6378284356414686E-2</v>
      </c>
      <c r="D34" s="16">
        <v>41153</v>
      </c>
      <c r="E34" s="15">
        <v>2.0306000000000002</v>
      </c>
      <c r="F34" s="15">
        <f t="shared" si="1"/>
        <v>-3.2450001433270781E-3</v>
      </c>
      <c r="G34" s="16">
        <v>41153</v>
      </c>
      <c r="H34" s="15">
        <v>19.168056775</v>
      </c>
      <c r="I34" s="15">
        <f t="shared" si="2"/>
        <v>7.5174528845268762E-2</v>
      </c>
      <c r="J34" s="16">
        <v>41153</v>
      </c>
      <c r="K34" s="15">
        <v>27.282788352000001</v>
      </c>
      <c r="L34" s="15">
        <f t="shared" si="3"/>
        <v>7.7169339044635674E-2</v>
      </c>
    </row>
    <row r="35" spans="1:12" x14ac:dyDescent="0.25">
      <c r="A35" s="16">
        <v>41183</v>
      </c>
      <c r="B35" s="15">
        <v>57068</v>
      </c>
      <c r="C35" s="15">
        <f t="shared" si="0"/>
        <v>-3.6255616147479588E-2</v>
      </c>
      <c r="D35" s="16">
        <v>41183</v>
      </c>
      <c r="E35" s="15">
        <v>2.0312999999999999</v>
      </c>
      <c r="F35" s="15">
        <f t="shared" si="1"/>
        <v>3.4466629258699162E-4</v>
      </c>
      <c r="G35" s="16">
        <v>41183</v>
      </c>
      <c r="H35" s="15">
        <v>17.822779657000002</v>
      </c>
      <c r="I35" s="15">
        <f t="shared" si="2"/>
        <v>-7.2767788776982825E-2</v>
      </c>
      <c r="J35" s="16">
        <v>41183</v>
      </c>
      <c r="K35" s="15">
        <v>28.900348210000001</v>
      </c>
      <c r="L35" s="15">
        <f t="shared" si="3"/>
        <v>5.7597603766073813E-2</v>
      </c>
    </row>
    <row r="36" spans="1:12" x14ac:dyDescent="0.25">
      <c r="A36" s="16">
        <v>41214</v>
      </c>
      <c r="B36" s="15">
        <v>57474</v>
      </c>
      <c r="C36" s="15">
        <f t="shared" si="0"/>
        <v>7.0891323762416287E-3</v>
      </c>
      <c r="D36" s="16">
        <v>41214</v>
      </c>
      <c r="E36" s="15">
        <v>2.1074000000000002</v>
      </c>
      <c r="F36" s="15">
        <f t="shared" si="1"/>
        <v>3.6778978005718013E-2</v>
      </c>
      <c r="G36" s="16">
        <v>41214</v>
      </c>
      <c r="H36" s="15">
        <v>15.989089826000001</v>
      </c>
      <c r="I36" s="15">
        <f t="shared" si="2"/>
        <v>-0.10857079134466358</v>
      </c>
      <c r="J36" s="16">
        <v>41214</v>
      </c>
      <c r="K36" s="15">
        <v>29.016103944000001</v>
      </c>
      <c r="L36" s="15">
        <f t="shared" si="3"/>
        <v>3.9973404388780817E-3</v>
      </c>
    </row>
    <row r="37" spans="1:12" x14ac:dyDescent="0.25">
      <c r="A37" s="16">
        <v>41244</v>
      </c>
      <c r="B37" s="15">
        <v>60952</v>
      </c>
      <c r="C37" s="15">
        <f t="shared" si="0"/>
        <v>5.8753997541898972E-2</v>
      </c>
      <c r="D37" s="16">
        <v>41244</v>
      </c>
      <c r="E37" s="15">
        <v>2.0434999999999999</v>
      </c>
      <c r="F37" s="15">
        <f t="shared" si="1"/>
        <v>-3.0790936161095416E-2</v>
      </c>
      <c r="G37" s="16">
        <v>41244</v>
      </c>
      <c r="H37" s="15">
        <v>16.725993215999999</v>
      </c>
      <c r="I37" s="15">
        <f t="shared" si="2"/>
        <v>4.5057385588304938E-2</v>
      </c>
      <c r="J37" s="16">
        <v>41244</v>
      </c>
      <c r="K37" s="15">
        <v>32.627682839000002</v>
      </c>
      <c r="L37" s="15">
        <f t="shared" si="3"/>
        <v>0.11731011060136246</v>
      </c>
    </row>
    <row r="38" spans="1:12" x14ac:dyDescent="0.25">
      <c r="A38" s="16">
        <v>41275</v>
      </c>
      <c r="B38" s="15">
        <v>59761</v>
      </c>
      <c r="C38" s="15">
        <f t="shared" si="0"/>
        <v>-1.9733394885080809E-2</v>
      </c>
      <c r="D38" s="16">
        <v>41275</v>
      </c>
      <c r="E38" s="15">
        <v>1.9883</v>
      </c>
      <c r="F38" s="15">
        <f t="shared" si="1"/>
        <v>-2.7384021740296471E-2</v>
      </c>
      <c r="G38" s="16">
        <v>41275</v>
      </c>
      <c r="H38" s="15">
        <v>15.49210847</v>
      </c>
      <c r="I38" s="15">
        <f t="shared" si="2"/>
        <v>-7.6633226056894099E-2</v>
      </c>
      <c r="J38" s="16">
        <v>41275</v>
      </c>
      <c r="K38" s="15">
        <v>31.068838957000001</v>
      </c>
      <c r="L38" s="15">
        <f t="shared" si="3"/>
        <v>-4.8955740787483493E-2</v>
      </c>
    </row>
    <row r="39" spans="1:12" x14ac:dyDescent="0.25">
      <c r="A39" s="16">
        <v>41306</v>
      </c>
      <c r="B39" s="15">
        <v>57424</v>
      </c>
      <c r="C39" s="15">
        <f t="shared" si="0"/>
        <v>-3.9890939880376175E-2</v>
      </c>
      <c r="D39" s="16">
        <v>41306</v>
      </c>
      <c r="E39" s="15">
        <v>1.9754</v>
      </c>
      <c r="F39" s="15">
        <f t="shared" si="1"/>
        <v>-6.5090927900084694E-3</v>
      </c>
      <c r="G39" s="16">
        <v>41306</v>
      </c>
      <c r="H39" s="15">
        <v>14.232517793</v>
      </c>
      <c r="I39" s="15">
        <f t="shared" si="2"/>
        <v>-8.4801431297089641E-2</v>
      </c>
      <c r="J39" s="16">
        <v>41306</v>
      </c>
      <c r="K39" s="15">
        <v>29.170444922000001</v>
      </c>
      <c r="L39" s="15">
        <f t="shared" si="3"/>
        <v>-6.3049317598773705E-2</v>
      </c>
    </row>
    <row r="40" spans="1:12" x14ac:dyDescent="0.25">
      <c r="A40" s="16">
        <v>41334</v>
      </c>
      <c r="B40" s="15">
        <v>56352</v>
      </c>
      <c r="C40" s="15">
        <f t="shared" si="0"/>
        <v>-1.8844602091455772E-2</v>
      </c>
      <c r="D40" s="16">
        <v>41334</v>
      </c>
      <c r="E40" s="15">
        <v>2.0137999999999998</v>
      </c>
      <c r="F40" s="15">
        <f t="shared" si="1"/>
        <v>1.9252575007487435E-2</v>
      </c>
      <c r="G40" s="16">
        <v>41334</v>
      </c>
      <c r="H40" s="15">
        <v>15.72346186</v>
      </c>
      <c r="I40" s="15">
        <f t="shared" si="2"/>
        <v>9.9624650848764484E-2</v>
      </c>
      <c r="J40" s="16">
        <v>41334</v>
      </c>
      <c r="K40" s="15">
        <v>26.932500735000001</v>
      </c>
      <c r="L40" s="15">
        <f t="shared" si="3"/>
        <v>-7.9822273412052669E-2</v>
      </c>
    </row>
    <row r="41" spans="1:12" x14ac:dyDescent="0.25">
      <c r="A41" s="16">
        <v>41365</v>
      </c>
      <c r="B41" s="15">
        <v>55910</v>
      </c>
      <c r="C41" s="15">
        <f t="shared" si="0"/>
        <v>-7.8744772752417352E-3</v>
      </c>
      <c r="D41" s="16">
        <v>41365</v>
      </c>
      <c r="E41" s="15">
        <v>2.0017</v>
      </c>
      <c r="F41" s="15">
        <f t="shared" si="1"/>
        <v>-6.0266649848541142E-3</v>
      </c>
      <c r="G41" s="16">
        <v>41365</v>
      </c>
      <c r="H41" s="15">
        <v>17.897848693</v>
      </c>
      <c r="I41" s="15">
        <f t="shared" si="2"/>
        <v>0.12952653801738598</v>
      </c>
      <c r="J41" s="16">
        <v>41365</v>
      </c>
      <c r="K41" s="15">
        <v>27.137149474000001</v>
      </c>
      <c r="L41" s="15">
        <f t="shared" si="3"/>
        <v>7.5698553791996512E-3</v>
      </c>
    </row>
    <row r="42" spans="1:12" x14ac:dyDescent="0.25">
      <c r="A42" s="16">
        <v>41395</v>
      </c>
      <c r="B42" s="15">
        <v>53506</v>
      </c>
      <c r="C42" s="15">
        <f t="shared" si="0"/>
        <v>-4.394945789217148E-2</v>
      </c>
      <c r="D42" s="16">
        <v>41395</v>
      </c>
      <c r="E42" s="15">
        <v>2.1318999999999999</v>
      </c>
      <c r="F42" s="15">
        <f t="shared" si="1"/>
        <v>6.3016781373836012E-2</v>
      </c>
      <c r="G42" s="16">
        <v>41395</v>
      </c>
      <c r="H42" s="15">
        <v>17.862213354000001</v>
      </c>
      <c r="I42" s="15">
        <f t="shared" si="2"/>
        <v>-1.9930251099062519E-3</v>
      </c>
      <c r="J42" s="16">
        <v>41395</v>
      </c>
      <c r="K42" s="15">
        <v>24.126312452000001</v>
      </c>
      <c r="L42" s="15">
        <f t="shared" si="3"/>
        <v>-0.11760057055511168</v>
      </c>
    </row>
    <row r="43" spans="1:12" x14ac:dyDescent="0.25">
      <c r="A43" s="16">
        <v>41426</v>
      </c>
      <c r="B43" s="15">
        <v>47457</v>
      </c>
      <c r="C43" s="15">
        <f t="shared" si="0"/>
        <v>-0.11996975926183032</v>
      </c>
      <c r="D43" s="16">
        <v>41426</v>
      </c>
      <c r="E43" s="15">
        <v>2.2155999999999998</v>
      </c>
      <c r="F43" s="15">
        <f t="shared" si="1"/>
        <v>3.8509646288452493E-2</v>
      </c>
      <c r="G43" s="16">
        <v>41426</v>
      </c>
      <c r="H43" s="15">
        <v>14.414494367</v>
      </c>
      <c r="I43" s="15">
        <f t="shared" si="2"/>
        <v>-0.21445324215465361</v>
      </c>
      <c r="J43" s="16">
        <v>41426</v>
      </c>
      <c r="K43" s="15">
        <v>23.056672983999999</v>
      </c>
      <c r="L43" s="15">
        <f t="shared" si="3"/>
        <v>-4.5347819964785485E-2</v>
      </c>
    </row>
    <row r="44" spans="1:12" x14ac:dyDescent="0.25">
      <c r="A44" s="16">
        <v>41456</v>
      </c>
      <c r="B44" s="15">
        <v>48234</v>
      </c>
      <c r="C44" s="15">
        <f t="shared" si="0"/>
        <v>1.6240128689326772E-2</v>
      </c>
      <c r="D44" s="16">
        <v>41456</v>
      </c>
      <c r="E44" s="15">
        <v>2.2902999999999998</v>
      </c>
      <c r="F44" s="15">
        <f t="shared" si="1"/>
        <v>3.3159566175825952E-2</v>
      </c>
      <c r="G44" s="16">
        <v>41456</v>
      </c>
      <c r="H44" s="15">
        <v>14.512491548</v>
      </c>
      <c r="I44" s="15">
        <f t="shared" si="2"/>
        <v>6.7755110185721999E-3</v>
      </c>
      <c r="J44" s="16">
        <v>41456</v>
      </c>
      <c r="K44" s="15">
        <v>24.577938006</v>
      </c>
      <c r="L44" s="15">
        <f t="shared" si="3"/>
        <v>6.3893983586213968E-2</v>
      </c>
    </row>
    <row r="45" spans="1:12" x14ac:dyDescent="0.25">
      <c r="A45" s="16">
        <v>41487</v>
      </c>
      <c r="B45" s="15">
        <v>50011</v>
      </c>
      <c r="C45" s="15">
        <f t="shared" si="0"/>
        <v>3.6178814657816132E-2</v>
      </c>
      <c r="D45" s="16">
        <v>41487</v>
      </c>
      <c r="E45" s="15">
        <v>2.3725000000000001</v>
      </c>
      <c r="F45" s="15">
        <f t="shared" si="1"/>
        <v>3.5261438149308204E-2</v>
      </c>
      <c r="G45" s="16">
        <v>41487</v>
      </c>
      <c r="H45" s="15">
        <v>14.966842112</v>
      </c>
      <c r="I45" s="15">
        <f t="shared" si="2"/>
        <v>3.0827463787384553E-2</v>
      </c>
      <c r="J45" s="16">
        <v>41487</v>
      </c>
      <c r="K45" s="15">
        <v>27.271844815000001</v>
      </c>
      <c r="L45" s="15">
        <f t="shared" si="3"/>
        <v>0.10400563302883024</v>
      </c>
    </row>
    <row r="46" spans="1:12" x14ac:dyDescent="0.25">
      <c r="A46" s="16">
        <v>41518</v>
      </c>
      <c r="B46" s="15">
        <v>52338</v>
      </c>
      <c r="C46" s="15">
        <f t="shared" si="0"/>
        <v>4.5479703447441643E-2</v>
      </c>
      <c r="D46" s="16">
        <v>41518</v>
      </c>
      <c r="E46" s="15">
        <v>2.23</v>
      </c>
      <c r="F46" s="15">
        <f t="shared" si="1"/>
        <v>-6.1942666029918533E-2</v>
      </c>
      <c r="G46" s="16">
        <v>41518</v>
      </c>
      <c r="H46" s="15">
        <v>16.356620309</v>
      </c>
      <c r="I46" s="15">
        <f t="shared" si="2"/>
        <v>8.8795498837281273E-2</v>
      </c>
      <c r="J46" s="16">
        <v>41518</v>
      </c>
      <c r="K46" s="15">
        <v>27.303537836</v>
      </c>
      <c r="L46" s="15">
        <f t="shared" si="3"/>
        <v>1.1614403059835305E-3</v>
      </c>
    </row>
    <row r="47" spans="1:12" x14ac:dyDescent="0.25">
      <c r="A47" s="16">
        <v>41548</v>
      </c>
      <c r="B47" s="15">
        <v>54256</v>
      </c>
      <c r="C47" s="15">
        <f t="shared" si="0"/>
        <v>3.5990900704146261E-2</v>
      </c>
      <c r="D47" s="16">
        <v>41548</v>
      </c>
      <c r="E47" s="15">
        <v>2.2025999999999999</v>
      </c>
      <c r="F47" s="15">
        <f t="shared" si="1"/>
        <v>-1.2363104723320887E-2</v>
      </c>
      <c r="G47" s="16">
        <v>41548</v>
      </c>
      <c r="H47" s="15">
        <v>18.200749069</v>
      </c>
      <c r="I47" s="15">
        <f t="shared" si="2"/>
        <v>0.10683002361914132</v>
      </c>
      <c r="J47" s="16">
        <v>41548</v>
      </c>
      <c r="K47" s="15">
        <v>29.091739829000002</v>
      </c>
      <c r="L47" s="15">
        <f t="shared" si="3"/>
        <v>6.3437994352555441E-2</v>
      </c>
    </row>
    <row r="48" spans="1:12" x14ac:dyDescent="0.25">
      <c r="A48" s="16">
        <v>41579</v>
      </c>
      <c r="B48" s="15">
        <v>52482</v>
      </c>
      <c r="C48" s="15">
        <f t="shared" si="0"/>
        <v>-3.3243331717509893E-2</v>
      </c>
      <c r="D48" s="16">
        <v>41579</v>
      </c>
      <c r="E48" s="15">
        <v>2.3249</v>
      </c>
      <c r="F48" s="15">
        <f t="shared" si="1"/>
        <v>5.4038546612936091E-2</v>
      </c>
      <c r="G48" s="16">
        <v>41579</v>
      </c>
      <c r="H48" s="15">
        <v>17.033691737000002</v>
      </c>
      <c r="I48" s="15">
        <f t="shared" si="2"/>
        <v>-6.6269501241821585E-2</v>
      </c>
      <c r="J48" s="16">
        <v>41579</v>
      </c>
      <c r="K48" s="15">
        <v>29.189390423999999</v>
      </c>
      <c r="L48" s="15">
        <f t="shared" si="3"/>
        <v>3.3510223962876454E-3</v>
      </c>
    </row>
    <row r="49" spans="1:12" x14ac:dyDescent="0.25">
      <c r="A49" s="16">
        <v>41609</v>
      </c>
      <c r="B49" s="15">
        <v>51507</v>
      </c>
      <c r="C49" s="15">
        <f t="shared" si="0"/>
        <v>-1.8752532902588284E-2</v>
      </c>
      <c r="D49" s="16">
        <v>41609</v>
      </c>
      <c r="E49" s="15">
        <v>2.3426</v>
      </c>
      <c r="F49" s="15">
        <f t="shared" si="1"/>
        <v>7.5843962919948339E-3</v>
      </c>
      <c r="G49" s="16">
        <v>41609</v>
      </c>
      <c r="H49" s="15">
        <v>15.21628948</v>
      </c>
      <c r="I49" s="15">
        <f t="shared" si="2"/>
        <v>-0.11282671929844071</v>
      </c>
      <c r="J49" s="16">
        <v>41609</v>
      </c>
      <c r="K49" s="15">
        <v>29.059189630999999</v>
      </c>
      <c r="L49" s="15">
        <f t="shared" si="3"/>
        <v>-4.4705299158358785E-3</v>
      </c>
    </row>
    <row r="50" spans="1:12" x14ac:dyDescent="0.25">
      <c r="A50" s="16">
        <v>41640</v>
      </c>
      <c r="B50" s="15">
        <v>47638</v>
      </c>
      <c r="C50" s="15">
        <f t="shared" si="0"/>
        <v>-7.8086958685461838E-2</v>
      </c>
      <c r="D50" s="16">
        <v>41640</v>
      </c>
      <c r="E50" s="15">
        <v>2.4262999999999999</v>
      </c>
      <c r="F50" s="15">
        <f t="shared" si="1"/>
        <v>3.5106039569159808E-2</v>
      </c>
      <c r="G50" s="16">
        <v>41640</v>
      </c>
      <c r="H50" s="15">
        <v>13.095986848000001</v>
      </c>
      <c r="I50" s="15">
        <f t="shared" si="2"/>
        <v>-0.15006069454068299</v>
      </c>
      <c r="J50" s="16">
        <v>41640</v>
      </c>
      <c r="K50" s="15">
        <v>26.894601435999999</v>
      </c>
      <c r="L50" s="15">
        <f t="shared" si="3"/>
        <v>-7.7409195334682088E-2</v>
      </c>
    </row>
    <row r="51" spans="1:12" x14ac:dyDescent="0.25">
      <c r="A51" s="16">
        <v>41671</v>
      </c>
      <c r="B51" s="15">
        <v>47094</v>
      </c>
      <c r="C51" s="15">
        <f t="shared" si="0"/>
        <v>-1.1485157704991065E-2</v>
      </c>
      <c r="D51" s="16">
        <v>41671</v>
      </c>
      <c r="E51" s="15">
        <v>2.3334000000000001</v>
      </c>
      <c r="F51" s="15">
        <f t="shared" si="1"/>
        <v>-3.9041031815177409E-2</v>
      </c>
      <c r="G51" s="16">
        <v>41671</v>
      </c>
      <c r="H51" s="15">
        <v>12.107106207999999</v>
      </c>
      <c r="I51" s="15">
        <f t="shared" si="2"/>
        <v>-7.8513265659396619E-2</v>
      </c>
      <c r="J51" s="16">
        <v>41671</v>
      </c>
      <c r="K51" s="15">
        <v>26.853913687999999</v>
      </c>
      <c r="L51" s="15">
        <f t="shared" si="3"/>
        <v>-1.5140048307643054E-3</v>
      </c>
    </row>
    <row r="52" spans="1:12" x14ac:dyDescent="0.25">
      <c r="A52" s="16">
        <v>41699</v>
      </c>
      <c r="B52" s="15">
        <v>50414</v>
      </c>
      <c r="C52" s="15">
        <f t="shared" si="0"/>
        <v>6.8123309909265073E-2</v>
      </c>
      <c r="D52" s="16">
        <v>41699</v>
      </c>
      <c r="E52" s="15">
        <v>2.2629999999999999</v>
      </c>
      <c r="F52" s="15">
        <f t="shared" si="1"/>
        <v>-3.0635064756219372E-2</v>
      </c>
      <c r="G52" s="16">
        <v>41699</v>
      </c>
      <c r="H52" s="15">
        <v>14.058140984</v>
      </c>
      <c r="I52" s="15">
        <f t="shared" si="2"/>
        <v>0.14940908730869307</v>
      </c>
      <c r="J52" s="16">
        <v>41699</v>
      </c>
      <c r="K52" s="15">
        <v>25.568180851000001</v>
      </c>
      <c r="L52" s="15">
        <f t="shared" si="3"/>
        <v>-4.9062928631846484E-2</v>
      </c>
    </row>
    <row r="53" spans="1:12" x14ac:dyDescent="0.25">
      <c r="A53" s="16">
        <v>41730</v>
      </c>
      <c r="B53" s="15">
        <v>51626</v>
      </c>
      <c r="C53" s="15">
        <f t="shared" si="0"/>
        <v>2.3756507271643593E-2</v>
      </c>
      <c r="D53" s="16">
        <v>41730</v>
      </c>
      <c r="E53" s="15">
        <v>2.2360000000000002</v>
      </c>
      <c r="F53" s="15">
        <f t="shared" si="1"/>
        <v>-1.2002811358547479E-2</v>
      </c>
      <c r="G53" s="16">
        <v>41730</v>
      </c>
      <c r="H53" s="15">
        <v>15.701971176000001</v>
      </c>
      <c r="I53" s="15">
        <f t="shared" si="2"/>
        <v>0.11058459964314665</v>
      </c>
      <c r="J53" s="16">
        <v>41730</v>
      </c>
      <c r="K53" s="15">
        <v>24.596637204</v>
      </c>
      <c r="L53" s="15">
        <f t="shared" si="3"/>
        <v>-3.8738908322939435E-2</v>
      </c>
    </row>
    <row r="54" spans="1:12" x14ac:dyDescent="0.25">
      <c r="A54" s="16">
        <v>41760</v>
      </c>
      <c r="B54" s="15">
        <v>51239</v>
      </c>
      <c r="C54" s="15">
        <f t="shared" si="0"/>
        <v>-7.524460718669003E-3</v>
      </c>
      <c r="D54" s="16">
        <v>41760</v>
      </c>
      <c r="E54" s="15">
        <v>2.2389999999999999</v>
      </c>
      <c r="F54" s="15">
        <f t="shared" si="1"/>
        <v>1.3407823237648634E-3</v>
      </c>
      <c r="G54" s="16">
        <v>41760</v>
      </c>
      <c r="H54" s="15">
        <v>15.815684908</v>
      </c>
      <c r="I54" s="15">
        <f t="shared" si="2"/>
        <v>7.2159062280982237E-3</v>
      </c>
      <c r="J54" s="16">
        <v>41760</v>
      </c>
      <c r="K54" s="15">
        <v>23.760016890999999</v>
      </c>
      <c r="L54" s="15">
        <f t="shared" si="3"/>
        <v>-3.4605529174898841E-2</v>
      </c>
    </row>
    <row r="55" spans="1:12" x14ac:dyDescent="0.25">
      <c r="A55" s="16">
        <v>41791</v>
      </c>
      <c r="B55" s="15">
        <v>53168</v>
      </c>
      <c r="C55" s="15">
        <f t="shared" si="0"/>
        <v>3.6955750777267135E-2</v>
      </c>
      <c r="D55" s="16">
        <v>41791</v>
      </c>
      <c r="E55" s="15">
        <v>2.2025000000000001</v>
      </c>
      <c r="F55" s="15">
        <f t="shared" si="1"/>
        <v>-1.6436258788420102E-2</v>
      </c>
      <c r="G55" s="16">
        <v>41791</v>
      </c>
      <c r="H55" s="15">
        <v>16.384253568999998</v>
      </c>
      <c r="I55" s="15">
        <f t="shared" si="2"/>
        <v>3.5318562048114406E-2</v>
      </c>
      <c r="J55" s="16">
        <v>41791</v>
      </c>
      <c r="K55" s="15">
        <v>24.462777954</v>
      </c>
      <c r="L55" s="15">
        <f t="shared" si="3"/>
        <v>2.9148489715511431E-2</v>
      </c>
    </row>
    <row r="56" spans="1:12" x14ac:dyDescent="0.25">
      <c r="A56" s="16">
        <v>41821</v>
      </c>
      <c r="B56" s="15">
        <v>55829</v>
      </c>
      <c r="C56" s="15">
        <f t="shared" si="0"/>
        <v>4.8836736032511999E-2</v>
      </c>
      <c r="D56" s="16">
        <v>41821</v>
      </c>
      <c r="E56" s="15">
        <v>2.2673999999999999</v>
      </c>
      <c r="F56" s="15">
        <f t="shared" si="1"/>
        <v>2.9040721773163556E-2</v>
      </c>
      <c r="G56" s="16">
        <v>41821</v>
      </c>
      <c r="H56" s="15">
        <v>18.099435696</v>
      </c>
      <c r="I56" s="15">
        <f t="shared" si="2"/>
        <v>9.9560035408321618E-2</v>
      </c>
      <c r="J56" s="16">
        <v>41821</v>
      </c>
      <c r="K56" s="15">
        <v>27.231991189999999</v>
      </c>
      <c r="L56" s="15">
        <f t="shared" si="3"/>
        <v>0.10723973376408387</v>
      </c>
    </row>
    <row r="57" spans="1:12" x14ac:dyDescent="0.25">
      <c r="A57" s="16">
        <v>41852</v>
      </c>
      <c r="B57" s="15">
        <v>61288</v>
      </c>
      <c r="C57" s="15">
        <f t="shared" si="0"/>
        <v>9.3290617569769446E-2</v>
      </c>
      <c r="D57" s="16">
        <v>41852</v>
      </c>
      <c r="E57" s="15">
        <v>2.2395999999999998</v>
      </c>
      <c r="F57" s="15">
        <f t="shared" si="1"/>
        <v>-1.2336522108760045E-2</v>
      </c>
      <c r="G57" s="16">
        <v>41852</v>
      </c>
      <c r="H57" s="15">
        <v>22.126797041</v>
      </c>
      <c r="I57" s="15">
        <f t="shared" si="2"/>
        <v>0.20090864901854774</v>
      </c>
      <c r="J57" s="16">
        <v>41852</v>
      </c>
      <c r="K57" s="15">
        <v>24.362383516000001</v>
      </c>
      <c r="L57" s="15">
        <f t="shared" si="3"/>
        <v>-0.11135214533492019</v>
      </c>
    </row>
    <row r="58" spans="1:12" x14ac:dyDescent="0.25">
      <c r="A58" s="16">
        <v>41883</v>
      </c>
      <c r="B58" s="15">
        <v>54115</v>
      </c>
      <c r="C58" s="15">
        <f t="shared" si="0"/>
        <v>-0.12447265346741006</v>
      </c>
      <c r="D58" s="16">
        <v>41883</v>
      </c>
      <c r="E58" s="15">
        <v>2.4510000000000001</v>
      </c>
      <c r="F58" s="15">
        <f t="shared" si="1"/>
        <v>9.0198826053374467E-2</v>
      </c>
      <c r="G58" s="16">
        <v>41883</v>
      </c>
      <c r="H58" s="15">
        <v>17.142345117000001</v>
      </c>
      <c r="I58" s="15">
        <f t="shared" si="2"/>
        <v>-0.25523768468206992</v>
      </c>
      <c r="J58" s="16">
        <v>41883</v>
      </c>
      <c r="K58" s="15">
        <v>22.463255405999998</v>
      </c>
      <c r="L58" s="15">
        <f t="shared" si="3"/>
        <v>-8.1159402345910764E-2</v>
      </c>
    </row>
    <row r="59" spans="1:12" x14ac:dyDescent="0.25">
      <c r="A59" s="16">
        <v>41913</v>
      </c>
      <c r="B59" s="15">
        <v>54628</v>
      </c>
      <c r="C59" s="15">
        <f t="shared" si="0"/>
        <v>9.4351600690683584E-3</v>
      </c>
      <c r="D59" s="16">
        <v>41913</v>
      </c>
      <c r="E59" s="15">
        <v>2.4441999999999999</v>
      </c>
      <c r="F59" s="15">
        <f t="shared" si="1"/>
        <v>-2.7782335242124293E-3</v>
      </c>
      <c r="G59" s="16">
        <v>41913</v>
      </c>
      <c r="H59" s="15">
        <v>14.479548555999999</v>
      </c>
      <c r="I59" s="15">
        <f t="shared" si="2"/>
        <v>-0.16881451570593789</v>
      </c>
      <c r="J59" s="16">
        <v>41913</v>
      </c>
      <c r="K59" s="15">
        <v>21.700857637999999</v>
      </c>
      <c r="L59" s="15">
        <f t="shared" si="3"/>
        <v>-3.4529098939728976E-2</v>
      </c>
    </row>
    <row r="60" spans="1:12" x14ac:dyDescent="0.25">
      <c r="A60" s="16">
        <v>41944</v>
      </c>
      <c r="B60" s="15">
        <v>54724</v>
      </c>
      <c r="C60" s="15">
        <f t="shared" si="0"/>
        <v>1.7557982416895564E-3</v>
      </c>
      <c r="D60" s="16">
        <v>41944</v>
      </c>
      <c r="E60" s="15">
        <v>2.5600999999999998</v>
      </c>
      <c r="F60" s="15">
        <f t="shared" si="1"/>
        <v>4.6328449206788455E-2</v>
      </c>
      <c r="G60" s="16">
        <v>41944</v>
      </c>
      <c r="H60" s="15">
        <v>12.129464758999999</v>
      </c>
      <c r="I60" s="15">
        <f t="shared" si="2"/>
        <v>-0.17709961280891814</v>
      </c>
      <c r="J60" s="16">
        <v>41944</v>
      </c>
      <c r="K60" s="15">
        <v>20.225199318000001</v>
      </c>
      <c r="L60" s="15">
        <f t="shared" si="3"/>
        <v>-7.0422464327002859E-2</v>
      </c>
    </row>
    <row r="61" spans="1:12" x14ac:dyDescent="0.25">
      <c r="A61" s="16">
        <v>41974</v>
      </c>
      <c r="B61" s="15">
        <v>50007</v>
      </c>
      <c r="C61" s="15">
        <f t="shared" si="0"/>
        <v>-9.0139374428806998E-2</v>
      </c>
      <c r="D61" s="16">
        <v>41974</v>
      </c>
      <c r="E61" s="15">
        <v>2.6562000000000001</v>
      </c>
      <c r="F61" s="15">
        <f t="shared" si="1"/>
        <v>3.6850209755461806E-2</v>
      </c>
      <c r="G61" s="16">
        <v>41974</v>
      </c>
      <c r="H61" s="15">
        <v>9.4950966318999992</v>
      </c>
      <c r="I61" s="15">
        <f t="shared" si="2"/>
        <v>-0.24486207524301704</v>
      </c>
      <c r="J61" s="16">
        <v>41974</v>
      </c>
      <c r="K61" s="15">
        <v>19.018631633999998</v>
      </c>
      <c r="L61" s="15">
        <f t="shared" si="3"/>
        <v>-6.1510206930836274E-2</v>
      </c>
    </row>
    <row r="62" spans="1:12" x14ac:dyDescent="0.25">
      <c r="A62" s="16">
        <v>42005</v>
      </c>
      <c r="B62" s="15">
        <v>46907</v>
      </c>
      <c r="C62" s="15">
        <f t="shared" si="0"/>
        <v>-6.3996077582713695E-2</v>
      </c>
      <c r="D62" s="16">
        <v>42005</v>
      </c>
      <c r="E62" s="15">
        <v>2.6623000000000001</v>
      </c>
      <c r="F62" s="15">
        <f t="shared" si="1"/>
        <v>2.2938808591870968E-3</v>
      </c>
      <c r="G62" s="16">
        <v>42005</v>
      </c>
      <c r="H62" s="15">
        <v>7.7514860727999997</v>
      </c>
      <c r="I62" s="15">
        <f t="shared" si="2"/>
        <v>-0.20289094503544519</v>
      </c>
      <c r="J62" s="16">
        <v>42005</v>
      </c>
      <c r="K62" s="15">
        <v>16.154118425</v>
      </c>
      <c r="L62" s="15">
        <f t="shared" si="3"/>
        <v>-0.16324408300121857</v>
      </c>
    </row>
    <row r="63" spans="1:12" x14ac:dyDescent="0.25">
      <c r="A63" s="16">
        <v>42036</v>
      </c>
      <c r="B63" s="15">
        <v>51583</v>
      </c>
      <c r="C63" s="15">
        <f t="shared" si="0"/>
        <v>9.502524279382861E-2</v>
      </c>
      <c r="D63" s="16">
        <v>42036</v>
      </c>
      <c r="E63" s="15">
        <v>2.8782000000000001</v>
      </c>
      <c r="F63" s="15">
        <f t="shared" si="1"/>
        <v>7.7974687910735765E-2</v>
      </c>
      <c r="G63" s="16">
        <v>42036</v>
      </c>
      <c r="H63" s="15">
        <v>9.0686701364999998</v>
      </c>
      <c r="I63" s="15">
        <f t="shared" si="2"/>
        <v>0.15694105484850862</v>
      </c>
      <c r="J63" s="16">
        <v>42036</v>
      </c>
      <c r="K63" s="15">
        <v>18.445728991999999</v>
      </c>
      <c r="L63" s="15">
        <f t="shared" si="3"/>
        <v>0.13265782474501886</v>
      </c>
    </row>
    <row r="64" spans="1:12" x14ac:dyDescent="0.25">
      <c r="A64" s="16">
        <v>42064</v>
      </c>
      <c r="B64" s="15">
        <v>51150</v>
      </c>
      <c r="C64" s="15">
        <f t="shared" si="0"/>
        <v>-8.4296684425401013E-3</v>
      </c>
      <c r="D64" s="16">
        <v>42064</v>
      </c>
      <c r="E64" s="15">
        <v>3.2080000000000002</v>
      </c>
      <c r="F64" s="15">
        <f t="shared" si="1"/>
        <v>0.10848259125033193</v>
      </c>
      <c r="G64" s="16">
        <v>42064</v>
      </c>
      <c r="H64" s="15">
        <v>9.2202884459999996</v>
      </c>
      <c r="I64" s="15">
        <f t="shared" si="2"/>
        <v>1.6580690733900727E-2</v>
      </c>
      <c r="J64" s="16">
        <v>42064</v>
      </c>
      <c r="K64" s="15">
        <v>15.572535439999999</v>
      </c>
      <c r="L64" s="15">
        <f t="shared" si="3"/>
        <v>-0.16932403878957694</v>
      </c>
    </row>
    <row r="65" spans="1:12" x14ac:dyDescent="0.25">
      <c r="A65" s="16">
        <v>42095</v>
      </c>
      <c r="B65" s="15">
        <v>56229</v>
      </c>
      <c r="C65" s="15">
        <f t="shared" si="0"/>
        <v>9.4670145647322207E-2</v>
      </c>
      <c r="D65" s="16">
        <v>42095</v>
      </c>
      <c r="E65" s="15">
        <v>2.9935999999999998</v>
      </c>
      <c r="F65" s="15">
        <f t="shared" si="1"/>
        <v>-6.9171013466580028E-2</v>
      </c>
      <c r="G65" s="16">
        <v>42095</v>
      </c>
      <c r="H65" s="15">
        <v>12.366368367</v>
      </c>
      <c r="I65" s="15">
        <f t="shared" si="2"/>
        <v>0.29357423749274991</v>
      </c>
      <c r="J65" s="16">
        <v>42095</v>
      </c>
      <c r="K65" s="15">
        <v>20.312897518</v>
      </c>
      <c r="L65" s="15">
        <f t="shared" si="3"/>
        <v>0.26574721606510271</v>
      </c>
    </row>
    <row r="66" spans="1:12" x14ac:dyDescent="0.25">
      <c r="A66" s="16">
        <v>42125</v>
      </c>
      <c r="B66" s="15">
        <v>52760</v>
      </c>
      <c r="C66" s="15">
        <f t="shared" si="0"/>
        <v>-6.3679310195843816E-2</v>
      </c>
      <c r="D66" s="16">
        <v>42125</v>
      </c>
      <c r="E66" s="15">
        <v>3.1787999999999998</v>
      </c>
      <c r="F66" s="15">
        <f t="shared" si="1"/>
        <v>6.0027090546199174E-2</v>
      </c>
      <c r="G66" s="16">
        <v>42125</v>
      </c>
      <c r="H66" s="15">
        <v>11.684085975</v>
      </c>
      <c r="I66" s="15">
        <f t="shared" si="2"/>
        <v>-5.6752816535785233E-2</v>
      </c>
      <c r="J66" s="16">
        <v>42125</v>
      </c>
      <c r="K66" s="15">
        <v>17.981174182</v>
      </c>
      <c r="L66" s="15">
        <f t="shared" si="3"/>
        <v>-0.12193069820985761</v>
      </c>
    </row>
    <row r="67" spans="1:12" x14ac:dyDescent="0.25">
      <c r="A67" s="16">
        <v>42156</v>
      </c>
      <c r="B67" s="15">
        <v>53080</v>
      </c>
      <c r="C67" s="15">
        <f t="shared" si="0"/>
        <v>6.046881614892907E-3</v>
      </c>
      <c r="D67" s="16">
        <v>42156</v>
      </c>
      <c r="E67" s="15">
        <v>3.1025999999999998</v>
      </c>
      <c r="F67" s="15">
        <f t="shared" si="1"/>
        <v>-2.4263297435793502E-2</v>
      </c>
      <c r="G67" s="16">
        <v>42156</v>
      </c>
      <c r="H67" s="15">
        <v>12.044179460000001</v>
      </c>
      <c r="I67" s="15">
        <f t="shared" si="2"/>
        <v>3.0353768022079456E-2</v>
      </c>
      <c r="J67" s="16">
        <v>42156</v>
      </c>
      <c r="K67" s="15">
        <v>16.402776847999998</v>
      </c>
      <c r="L67" s="15">
        <f t="shared" si="3"/>
        <v>-9.1874691308390155E-2</v>
      </c>
    </row>
    <row r="68" spans="1:12" x14ac:dyDescent="0.25">
      <c r="A68" s="16">
        <v>42186</v>
      </c>
      <c r="B68" s="15">
        <v>50864</v>
      </c>
      <c r="C68" s="15">
        <f t="shared" ref="C68:C118" si="4">LN(B68/B67)</f>
        <v>-4.2644805295559904E-2</v>
      </c>
      <c r="D68" s="16">
        <v>42186</v>
      </c>
      <c r="E68" s="15">
        <v>3.3940000000000001</v>
      </c>
      <c r="F68" s="15">
        <f t="shared" ref="F68:F118" si="5">LN(E68/E67)</f>
        <v>8.9768697163940966E-2</v>
      </c>
      <c r="G68" s="16">
        <v>42186</v>
      </c>
      <c r="H68" s="15">
        <v>9.9499515604000006</v>
      </c>
      <c r="I68" s="15">
        <f t="shared" ref="I68:I118" si="6">LN(H68/H67)</f>
        <v>-0.19101382801666156</v>
      </c>
      <c r="J68" s="16">
        <v>42186</v>
      </c>
      <c r="K68" s="15">
        <v>16.026113847000001</v>
      </c>
      <c r="L68" s="15">
        <f t="shared" ref="L68:L118" si="7">LN(K68/K67)</f>
        <v>-2.3231133272820177E-2</v>
      </c>
    </row>
    <row r="69" spans="1:12" x14ac:dyDescent="0.25">
      <c r="A69" s="16">
        <v>42217</v>
      </c>
      <c r="B69" s="15">
        <v>46625</v>
      </c>
      <c r="C69" s="15">
        <f t="shared" si="4"/>
        <v>-8.7018526204467289E-2</v>
      </c>
      <c r="D69" s="16">
        <v>42217</v>
      </c>
      <c r="E69" s="15">
        <v>3.6467000000000001</v>
      </c>
      <c r="F69" s="15">
        <f t="shared" si="5"/>
        <v>7.1813482239738741E-2</v>
      </c>
      <c r="G69" s="16">
        <v>42217</v>
      </c>
      <c r="H69" s="15">
        <v>8.7085766513999996</v>
      </c>
      <c r="I69" s="15">
        <f t="shared" si="6"/>
        <v>-0.13325932079999414</v>
      </c>
      <c r="J69" s="16">
        <v>42217</v>
      </c>
      <c r="K69" s="15">
        <v>16.070954681</v>
      </c>
      <c r="L69" s="15">
        <f t="shared" si="7"/>
        <v>2.7940784145509094E-3</v>
      </c>
    </row>
    <row r="70" spans="1:12" x14ac:dyDescent="0.25">
      <c r="A70" s="16">
        <v>42248</v>
      </c>
      <c r="B70" s="15">
        <v>45059</v>
      </c>
      <c r="C70" s="15">
        <f t="shared" si="4"/>
        <v>-3.4164135838187462E-2</v>
      </c>
      <c r="D70" s="16">
        <v>42248</v>
      </c>
      <c r="E70" s="15">
        <v>3.9729000000000001</v>
      </c>
      <c r="F70" s="15">
        <f t="shared" si="5"/>
        <v>8.5673657567118019E-2</v>
      </c>
      <c r="G70" s="16">
        <v>42248</v>
      </c>
      <c r="H70" s="15">
        <v>6.8607285044999999</v>
      </c>
      <c r="I70" s="15">
        <f t="shared" si="6"/>
        <v>-0.23849472996649715</v>
      </c>
      <c r="J70" s="16">
        <v>42248</v>
      </c>
      <c r="K70" s="15">
        <v>14.869220346000001</v>
      </c>
      <c r="L70" s="15">
        <f t="shared" si="7"/>
        <v>-7.7720257879641985E-2</v>
      </c>
    </row>
    <row r="71" spans="1:12" x14ac:dyDescent="0.25">
      <c r="A71" s="16">
        <v>42278</v>
      </c>
      <c r="B71" s="15">
        <v>45868</v>
      </c>
      <c r="C71" s="15">
        <f t="shared" si="4"/>
        <v>1.7794964050265868E-2</v>
      </c>
      <c r="D71" s="16">
        <v>42278</v>
      </c>
      <c r="E71" s="15">
        <v>3.8589000000000002</v>
      </c>
      <c r="F71" s="15">
        <f t="shared" si="5"/>
        <v>-2.9114137848248883E-2</v>
      </c>
      <c r="G71" s="16">
        <v>42278</v>
      </c>
      <c r="H71" s="15">
        <v>7.3061072885999998</v>
      </c>
      <c r="I71" s="15">
        <f t="shared" si="6"/>
        <v>6.2896981173246089E-2</v>
      </c>
      <c r="J71" s="16">
        <v>42278</v>
      </c>
      <c r="K71" s="15">
        <v>15.607069787</v>
      </c>
      <c r="L71" s="15">
        <f t="shared" si="7"/>
        <v>4.8430675310381338E-2</v>
      </c>
    </row>
    <row r="72" spans="1:12" x14ac:dyDescent="0.25">
      <c r="A72" s="16">
        <v>42309</v>
      </c>
      <c r="B72" s="15">
        <v>45120</v>
      </c>
      <c r="C72" s="15">
        <f t="shared" si="4"/>
        <v>-1.6442098986254511E-2</v>
      </c>
      <c r="D72" s="16">
        <v>42309</v>
      </c>
      <c r="E72" s="15">
        <v>3.8506</v>
      </c>
      <c r="F72" s="15">
        <f t="shared" si="5"/>
        <v>-2.1531884575443816E-3</v>
      </c>
      <c r="G72" s="16">
        <v>42309</v>
      </c>
      <c r="H72" s="15">
        <v>7.2682027112999998</v>
      </c>
      <c r="I72" s="15">
        <f t="shared" si="6"/>
        <v>-5.2015721860622019E-3</v>
      </c>
      <c r="J72" s="16">
        <v>42309</v>
      </c>
      <c r="K72" s="15">
        <v>12.048365129</v>
      </c>
      <c r="L72" s="15">
        <f t="shared" si="7"/>
        <v>-0.25879502627939588</v>
      </c>
    </row>
    <row r="73" spans="1:12" x14ac:dyDescent="0.25">
      <c r="A73" s="16">
        <v>42339</v>
      </c>
      <c r="B73" s="15">
        <v>43349</v>
      </c>
      <c r="C73" s="15">
        <f t="shared" si="4"/>
        <v>-4.0041972280073862E-2</v>
      </c>
      <c r="D73" s="16">
        <v>42339</v>
      </c>
      <c r="E73" s="15">
        <v>3.9047999999999998</v>
      </c>
      <c r="F73" s="15">
        <f t="shared" si="5"/>
        <v>1.3977585277702431E-2</v>
      </c>
      <c r="G73" s="16">
        <v>42339</v>
      </c>
      <c r="H73" s="15">
        <v>6.3490167099999999</v>
      </c>
      <c r="I73" s="15">
        <f t="shared" si="6"/>
        <v>-0.13520908898244977</v>
      </c>
      <c r="J73" s="16">
        <v>42339</v>
      </c>
      <c r="K73" s="15">
        <v>11.920288354</v>
      </c>
      <c r="L73" s="15">
        <f t="shared" si="7"/>
        <v>-1.0687124673789712E-2</v>
      </c>
    </row>
    <row r="74" spans="1:12" x14ac:dyDescent="0.25">
      <c r="A74" s="16">
        <v>42370</v>
      </c>
      <c r="B74" s="15">
        <v>40405</v>
      </c>
      <c r="C74" s="15">
        <f t="shared" si="4"/>
        <v>-7.033009522431867E-2</v>
      </c>
      <c r="D74" s="16">
        <v>42370</v>
      </c>
      <c r="E74" s="15">
        <v>4.0427999999999997</v>
      </c>
      <c r="F74" s="15">
        <f t="shared" si="5"/>
        <v>3.4730955627569685E-2</v>
      </c>
      <c r="G74" s="16">
        <v>42370</v>
      </c>
      <c r="H74" s="15">
        <v>4.5864538620999999</v>
      </c>
      <c r="I74" s="15">
        <f t="shared" si="6"/>
        <v>-0.32519280567911896</v>
      </c>
      <c r="J74" s="16">
        <v>42370</v>
      </c>
      <c r="K74" s="15">
        <v>8.8921874758000001</v>
      </c>
      <c r="L74" s="15">
        <f t="shared" si="7"/>
        <v>-0.29306877258850744</v>
      </c>
    </row>
    <row r="75" spans="1:12" x14ac:dyDescent="0.25">
      <c r="A75" s="16">
        <v>42401</v>
      </c>
      <c r="B75" s="15">
        <v>42793</v>
      </c>
      <c r="C75" s="15">
        <f t="shared" si="4"/>
        <v>5.7420998124481905E-2</v>
      </c>
      <c r="D75" s="16">
        <v>42401</v>
      </c>
      <c r="E75" s="15">
        <v>3.9796</v>
      </c>
      <c r="F75" s="15">
        <f t="shared" si="5"/>
        <v>-1.5756209485302805E-2</v>
      </c>
      <c r="G75" s="16">
        <v>42401</v>
      </c>
      <c r="H75" s="15">
        <v>4.8707381924000002</v>
      </c>
      <c r="I75" s="15">
        <f t="shared" si="6"/>
        <v>6.0138358739466664E-2</v>
      </c>
      <c r="J75" s="16">
        <v>42401</v>
      </c>
      <c r="K75" s="15">
        <v>10.804190749</v>
      </c>
      <c r="L75" s="15">
        <f t="shared" si="7"/>
        <v>0.19476101165200346</v>
      </c>
    </row>
    <row r="76" spans="1:12" x14ac:dyDescent="0.25">
      <c r="A76" s="16">
        <v>42430</v>
      </c>
      <c r="B76" s="15">
        <v>50055</v>
      </c>
      <c r="C76" s="15">
        <f t="shared" si="4"/>
        <v>0.15674786306155405</v>
      </c>
      <c r="D76" s="16">
        <v>42430</v>
      </c>
      <c r="E76" s="15">
        <v>3.5589</v>
      </c>
      <c r="F76" s="15">
        <f t="shared" si="5"/>
        <v>-0.11172980338003734</v>
      </c>
      <c r="G76" s="16">
        <v>42430</v>
      </c>
      <c r="H76" s="15">
        <v>7.9125805266000002</v>
      </c>
      <c r="I76" s="15">
        <f t="shared" si="6"/>
        <v>0.48520845940021445</v>
      </c>
      <c r="J76" s="16">
        <v>42430</v>
      </c>
      <c r="K76" s="15">
        <v>13.859736652</v>
      </c>
      <c r="L76" s="15">
        <f t="shared" si="7"/>
        <v>0.2490539018241236</v>
      </c>
    </row>
    <row r="77" spans="1:12" x14ac:dyDescent="0.25">
      <c r="A77" s="16">
        <v>42461</v>
      </c>
      <c r="B77" s="15">
        <v>53910</v>
      </c>
      <c r="C77" s="15">
        <f t="shared" si="4"/>
        <v>7.4193588592130391E-2</v>
      </c>
      <c r="D77" s="16">
        <v>42461</v>
      </c>
      <c r="E77" s="15">
        <v>3.4508000000000001</v>
      </c>
      <c r="F77" s="15">
        <f t="shared" si="5"/>
        <v>-3.0845420132743488E-2</v>
      </c>
      <c r="G77" s="16">
        <v>42461</v>
      </c>
      <c r="H77" s="15">
        <v>9.6940956631000006</v>
      </c>
      <c r="I77" s="15">
        <f t="shared" si="6"/>
        <v>0.20306304109789253</v>
      </c>
      <c r="J77" s="16">
        <v>42461</v>
      </c>
      <c r="K77" s="15">
        <v>18.013083476999999</v>
      </c>
      <c r="L77" s="15">
        <f t="shared" si="7"/>
        <v>0.26211036069078236</v>
      </c>
    </row>
    <row r="78" spans="1:12" x14ac:dyDescent="0.25">
      <c r="A78" s="16">
        <v>42491</v>
      </c>
      <c r="B78" s="15">
        <v>48471</v>
      </c>
      <c r="C78" s="15">
        <f t="shared" si="4"/>
        <v>-0.10635030850077418</v>
      </c>
      <c r="D78" s="16">
        <v>42491</v>
      </c>
      <c r="E78" s="15">
        <v>3.5951</v>
      </c>
      <c r="F78" s="15">
        <f t="shared" si="5"/>
        <v>4.096571897753698E-2</v>
      </c>
      <c r="G78" s="16">
        <v>42491</v>
      </c>
      <c r="H78" s="15">
        <v>7.6188200519000002</v>
      </c>
      <c r="I78" s="15">
        <f t="shared" si="6"/>
        <v>-0.24089549677762542</v>
      </c>
      <c r="J78" s="16">
        <v>42491</v>
      </c>
      <c r="K78" s="15">
        <v>13.008940936</v>
      </c>
      <c r="L78" s="15">
        <f t="shared" si="7"/>
        <v>-0.325461468327082</v>
      </c>
    </row>
    <row r="79" spans="1:12" x14ac:dyDescent="0.25">
      <c r="A79" s="16">
        <v>42522</v>
      </c>
      <c r="B79" s="15">
        <v>51526</v>
      </c>
      <c r="C79" s="15">
        <f t="shared" si="4"/>
        <v>6.1120853679728339E-2</v>
      </c>
      <c r="D79" s="16">
        <v>42522</v>
      </c>
      <c r="E79" s="15">
        <v>3.2098</v>
      </c>
      <c r="F79" s="15">
        <f t="shared" si="5"/>
        <v>-0.11336317729290493</v>
      </c>
      <c r="G79" s="16">
        <v>42522</v>
      </c>
      <c r="H79" s="15">
        <v>8.9265279713000005</v>
      </c>
      <c r="I79" s="15">
        <f t="shared" si="6"/>
        <v>0.15840600540232916</v>
      </c>
      <c r="J79" s="16">
        <v>42522</v>
      </c>
      <c r="K79" s="15">
        <v>14.884350846</v>
      </c>
      <c r="L79" s="15">
        <f t="shared" si="7"/>
        <v>0.13467349686246605</v>
      </c>
    </row>
    <row r="80" spans="1:12" x14ac:dyDescent="0.25">
      <c r="A80" s="16">
        <v>42552</v>
      </c>
      <c r="B80" s="15">
        <v>57308</v>
      </c>
      <c r="C80" s="15">
        <f t="shared" si="4"/>
        <v>0.10635369538859445</v>
      </c>
      <c r="D80" s="16">
        <v>42552</v>
      </c>
      <c r="E80" s="15">
        <v>3.2389999999999999</v>
      </c>
      <c r="F80" s="15">
        <f t="shared" si="5"/>
        <v>9.056010284273391E-3</v>
      </c>
      <c r="G80" s="16">
        <v>42552</v>
      </c>
      <c r="H80" s="15">
        <v>11.248183335</v>
      </c>
      <c r="I80" s="15">
        <f t="shared" si="6"/>
        <v>0.23117911999903668</v>
      </c>
      <c r="J80" s="16">
        <v>42552</v>
      </c>
      <c r="K80" s="15">
        <v>16.924430895</v>
      </c>
      <c r="L80" s="15">
        <f t="shared" si="7"/>
        <v>0.12844781089200924</v>
      </c>
    </row>
    <row r="81" spans="1:12" x14ac:dyDescent="0.25">
      <c r="A81" s="16">
        <v>42583</v>
      </c>
      <c r="B81" s="15">
        <v>57901</v>
      </c>
      <c r="C81" s="15">
        <f t="shared" si="4"/>
        <v>1.0294425555846446E-2</v>
      </c>
      <c r="D81" s="16">
        <v>42583</v>
      </c>
      <c r="E81" s="15">
        <v>3.2403</v>
      </c>
      <c r="F81" s="15">
        <f t="shared" si="5"/>
        <v>4.0127792120882891E-4</v>
      </c>
      <c r="G81" s="16">
        <v>42583</v>
      </c>
      <c r="H81" s="15">
        <v>12.176845481000001</v>
      </c>
      <c r="I81" s="15">
        <f t="shared" si="6"/>
        <v>7.9329602752307798E-2</v>
      </c>
      <c r="J81" s="16">
        <v>42583</v>
      </c>
      <c r="K81" s="15">
        <v>15.497289694999999</v>
      </c>
      <c r="L81" s="15">
        <f t="shared" si="7"/>
        <v>-8.8093042873625113E-2</v>
      </c>
    </row>
    <row r="82" spans="1:12" x14ac:dyDescent="0.25">
      <c r="A82" s="16">
        <v>42614</v>
      </c>
      <c r="B82" s="15">
        <v>58367</v>
      </c>
      <c r="C82" s="15">
        <f t="shared" si="4"/>
        <v>8.0160060426891725E-3</v>
      </c>
      <c r="D82" s="16">
        <v>42614</v>
      </c>
      <c r="E82" s="15">
        <v>3.2462</v>
      </c>
      <c r="F82" s="15">
        <f t="shared" si="5"/>
        <v>1.8191633784319992E-3</v>
      </c>
      <c r="G82" s="16">
        <v>42614</v>
      </c>
      <c r="H82" s="15">
        <v>12.859127873</v>
      </c>
      <c r="I82" s="15">
        <f t="shared" si="6"/>
        <v>5.4517662450356344E-2</v>
      </c>
      <c r="J82" s="16">
        <v>42614</v>
      </c>
      <c r="K82" s="15">
        <v>16.293195364999999</v>
      </c>
      <c r="L82" s="15">
        <f t="shared" si="7"/>
        <v>5.0082408132551846E-2</v>
      </c>
    </row>
    <row r="83" spans="1:12" x14ac:dyDescent="0.25">
      <c r="A83" s="16">
        <v>42644</v>
      </c>
      <c r="B83" s="15">
        <v>64924</v>
      </c>
      <c r="C83" s="15">
        <f t="shared" si="4"/>
        <v>0.10646669341316241</v>
      </c>
      <c r="D83" s="16">
        <v>42644</v>
      </c>
      <c r="E83" s="15">
        <v>3.1810999999999998</v>
      </c>
      <c r="F83" s="15">
        <f t="shared" si="5"/>
        <v>-2.0258032560807555E-2</v>
      </c>
      <c r="G83" s="16">
        <v>42644</v>
      </c>
      <c r="H83" s="15">
        <v>16.763299343</v>
      </c>
      <c r="I83" s="15">
        <f t="shared" si="6"/>
        <v>0.26513803437388783</v>
      </c>
      <c r="J83" s="16">
        <v>42644</v>
      </c>
      <c r="K83" s="15">
        <v>20.199536982000001</v>
      </c>
      <c r="L83" s="15">
        <f t="shared" si="7"/>
        <v>0.21491212408013907</v>
      </c>
    </row>
    <row r="84" spans="1:12" x14ac:dyDescent="0.25">
      <c r="A84" s="16">
        <v>42675</v>
      </c>
      <c r="B84" s="15">
        <v>61906</v>
      </c>
      <c r="C84" s="15">
        <f t="shared" si="4"/>
        <v>-4.7600249516616358E-2</v>
      </c>
      <c r="D84" s="16">
        <v>42675</v>
      </c>
      <c r="E84" s="15">
        <v>3.3967000000000001</v>
      </c>
      <c r="F84" s="15">
        <f t="shared" si="5"/>
        <v>6.5577323133034562E-2</v>
      </c>
      <c r="G84" s="16">
        <v>42675</v>
      </c>
      <c r="H84" s="15">
        <v>15.161830949000001</v>
      </c>
      <c r="I84" s="15">
        <f t="shared" si="6"/>
        <v>-0.10041078593262108</v>
      </c>
      <c r="J84" s="16">
        <v>42675</v>
      </c>
      <c r="K84" s="15">
        <v>25.670244915000001</v>
      </c>
      <c r="L84" s="15">
        <f t="shared" si="7"/>
        <v>0.23967285328002874</v>
      </c>
    </row>
    <row r="85" spans="1:12" x14ac:dyDescent="0.25">
      <c r="A85" s="16">
        <v>42705</v>
      </c>
      <c r="B85" s="15">
        <v>60227</v>
      </c>
      <c r="C85" s="15">
        <f t="shared" si="4"/>
        <v>-2.7496348776340683E-2</v>
      </c>
      <c r="D85" s="16">
        <v>42705</v>
      </c>
      <c r="E85" s="15">
        <v>3.2591000000000001</v>
      </c>
      <c r="F85" s="15">
        <f t="shared" si="5"/>
        <v>-4.1353288417412801E-2</v>
      </c>
      <c r="G85" s="16">
        <v>42705</v>
      </c>
      <c r="H85" s="15">
        <v>14.091026638000001</v>
      </c>
      <c r="I85" s="15">
        <f t="shared" si="6"/>
        <v>-7.3242961783818158E-2</v>
      </c>
      <c r="J85" s="16">
        <v>42705</v>
      </c>
      <c r="K85" s="15">
        <v>23.630968792000001</v>
      </c>
      <c r="L85" s="15">
        <f t="shared" si="7"/>
        <v>-8.2774446991033507E-2</v>
      </c>
    </row>
    <row r="86" spans="1:12" x14ac:dyDescent="0.25">
      <c r="A86" s="16">
        <v>42736</v>
      </c>
      <c r="B86" s="15">
        <v>64670</v>
      </c>
      <c r="C86" s="15">
        <f t="shared" si="4"/>
        <v>7.1176658708634363E-2</v>
      </c>
      <c r="D86" s="16">
        <v>42736</v>
      </c>
      <c r="E86" s="15">
        <v>3.1269999999999998</v>
      </c>
      <c r="F86" s="15">
        <f t="shared" si="5"/>
        <v>-4.137700516794332E-2</v>
      </c>
      <c r="G86" s="16">
        <v>42736</v>
      </c>
      <c r="H86" s="15">
        <v>14.233168803</v>
      </c>
      <c r="I86" s="15">
        <f t="shared" si="6"/>
        <v>1.0036885853766551E-2</v>
      </c>
      <c r="J86" s="16">
        <v>42736</v>
      </c>
      <c r="K86" s="15">
        <v>29.612327715999999</v>
      </c>
      <c r="L86" s="15">
        <f t="shared" si="7"/>
        <v>0.22563266276919786</v>
      </c>
    </row>
    <row r="87" spans="1:12" x14ac:dyDescent="0.25">
      <c r="A87" s="16">
        <v>42767</v>
      </c>
      <c r="B87" s="15">
        <v>66662</v>
      </c>
      <c r="C87" s="15">
        <f t="shared" si="4"/>
        <v>3.0337659971311139E-2</v>
      </c>
      <c r="D87" s="16">
        <v>42767</v>
      </c>
      <c r="E87" s="15">
        <v>3.0992999999999999</v>
      </c>
      <c r="F87" s="15">
        <f t="shared" si="5"/>
        <v>-8.8977989343317857E-3</v>
      </c>
      <c r="G87" s="16">
        <v>42767</v>
      </c>
      <c r="H87" s="15">
        <v>14.384787113</v>
      </c>
      <c r="I87" s="15">
        <f t="shared" si="6"/>
        <v>1.0596125667225969E-2</v>
      </c>
      <c r="J87" s="16">
        <v>42767</v>
      </c>
      <c r="K87" s="15">
        <v>30.109240611000001</v>
      </c>
      <c r="L87" s="15">
        <f t="shared" si="7"/>
        <v>1.6641370164591392E-2</v>
      </c>
    </row>
    <row r="88" spans="1:12" x14ac:dyDescent="0.25">
      <c r="A88" s="16">
        <v>42795</v>
      </c>
      <c r="B88" s="15">
        <v>64984</v>
      </c>
      <c r="C88" s="15">
        <f t="shared" si="4"/>
        <v>-2.5493989681159873E-2</v>
      </c>
      <c r="D88" s="16">
        <v>42795</v>
      </c>
      <c r="E88" s="15">
        <v>3.1684000000000001</v>
      </c>
      <c r="F88" s="15">
        <f t="shared" si="5"/>
        <v>2.2050449066615199E-2</v>
      </c>
      <c r="G88" s="16">
        <v>42795</v>
      </c>
      <c r="H88" s="15">
        <v>13.730933153000001</v>
      </c>
      <c r="I88" s="15">
        <f t="shared" si="6"/>
        <v>-4.6520015658065419E-2</v>
      </c>
      <c r="J88" s="16">
        <v>42795</v>
      </c>
      <c r="K88" s="15">
        <v>27.413028050000001</v>
      </c>
      <c r="L88" s="15">
        <f t="shared" si="7"/>
        <v>-9.3813745015699085E-2</v>
      </c>
    </row>
    <row r="89" spans="1:12" x14ac:dyDescent="0.25">
      <c r="A89" s="16">
        <v>42826</v>
      </c>
      <c r="B89" s="15">
        <v>65403</v>
      </c>
      <c r="C89" s="15">
        <f t="shared" si="4"/>
        <v>6.4270432220655841E-3</v>
      </c>
      <c r="D89" s="16">
        <v>42826</v>
      </c>
      <c r="E89" s="15">
        <v>3.1983999999999999</v>
      </c>
      <c r="F89" s="15">
        <f t="shared" si="5"/>
        <v>9.4239561560108698E-3</v>
      </c>
      <c r="G89" s="16">
        <v>42826</v>
      </c>
      <c r="H89" s="15">
        <v>13.238173647</v>
      </c>
      <c r="I89" s="15">
        <f t="shared" si="6"/>
        <v>-3.6546583076128E-2</v>
      </c>
      <c r="J89" s="16">
        <v>42826</v>
      </c>
      <c r="K89" s="15">
        <v>26.121453122999998</v>
      </c>
      <c r="L89" s="15">
        <f t="shared" si="7"/>
        <v>-4.8261441227176606E-2</v>
      </c>
    </row>
    <row r="90" spans="1:12" x14ac:dyDescent="0.25">
      <c r="A90" s="16">
        <v>42856</v>
      </c>
      <c r="B90" s="15">
        <v>62711</v>
      </c>
      <c r="C90" s="15">
        <f t="shared" si="4"/>
        <v>-4.2031258122902912E-2</v>
      </c>
      <c r="D90" s="16">
        <v>42856</v>
      </c>
      <c r="E90" s="15">
        <v>3.2437</v>
      </c>
      <c r="F90" s="15">
        <f t="shared" si="5"/>
        <v>1.4063968791073456E-2</v>
      </c>
      <c r="G90" s="16">
        <v>42856</v>
      </c>
      <c r="H90" s="15">
        <v>12.281083067999999</v>
      </c>
      <c r="I90" s="15">
        <f t="shared" si="6"/>
        <v>-7.5044482374817659E-2</v>
      </c>
      <c r="J90" s="16">
        <v>42856</v>
      </c>
      <c r="K90" s="15">
        <v>25.83618061</v>
      </c>
      <c r="L90" s="15">
        <f t="shared" si="7"/>
        <v>-1.0981076662176884E-2</v>
      </c>
    </row>
    <row r="91" spans="1:12" x14ac:dyDescent="0.25">
      <c r="A91" s="16">
        <v>42887</v>
      </c>
      <c r="B91" s="15">
        <v>62899</v>
      </c>
      <c r="C91" s="15">
        <f t="shared" si="4"/>
        <v>2.9933944810086755E-3</v>
      </c>
      <c r="D91" s="16">
        <v>42887</v>
      </c>
      <c r="E91" s="15">
        <v>3.3081999999999998</v>
      </c>
      <c r="F91" s="15">
        <f t="shared" si="5"/>
        <v>1.968958127091169E-2</v>
      </c>
      <c r="G91" s="16">
        <v>42887</v>
      </c>
      <c r="H91" s="15">
        <v>11.721990551999999</v>
      </c>
      <c r="I91" s="15">
        <f t="shared" si="6"/>
        <v>-4.6593504501564256E-2</v>
      </c>
      <c r="J91" s="16">
        <v>42887</v>
      </c>
      <c r="K91" s="15">
        <v>27.57634294</v>
      </c>
      <c r="L91" s="15">
        <f t="shared" si="7"/>
        <v>6.5182406534604095E-2</v>
      </c>
    </row>
    <row r="92" spans="1:12" x14ac:dyDescent="0.25">
      <c r="A92" s="16">
        <v>42917</v>
      </c>
      <c r="B92" s="15">
        <v>65920</v>
      </c>
      <c r="C92" s="15">
        <f t="shared" si="4"/>
        <v>4.6911620272392415E-2</v>
      </c>
      <c r="D92" s="16">
        <v>42917</v>
      </c>
      <c r="E92" s="15">
        <v>3.1307</v>
      </c>
      <c r="F92" s="15">
        <f t="shared" si="5"/>
        <v>-5.5147613105580522E-2</v>
      </c>
      <c r="G92" s="16">
        <v>42917</v>
      </c>
      <c r="H92" s="15">
        <v>12.593795832</v>
      </c>
      <c r="I92" s="15">
        <f t="shared" si="6"/>
        <v>7.1737686357731409E-2</v>
      </c>
      <c r="J92" s="16">
        <v>42917</v>
      </c>
      <c r="K92" s="15">
        <v>29.763432208000001</v>
      </c>
      <c r="L92" s="15">
        <f t="shared" si="7"/>
        <v>7.6322267571219141E-2</v>
      </c>
    </row>
    <row r="93" spans="1:12" x14ac:dyDescent="0.25">
      <c r="A93" s="16">
        <v>42948</v>
      </c>
      <c r="B93" s="15">
        <v>70835.05</v>
      </c>
      <c r="C93" s="15">
        <f t="shared" si="4"/>
        <v>7.1912049095593192E-2</v>
      </c>
      <c r="D93" s="16">
        <v>42948</v>
      </c>
      <c r="E93" s="15">
        <v>3.1471</v>
      </c>
      <c r="F93" s="15">
        <f t="shared" si="5"/>
        <v>5.2247721518950503E-3</v>
      </c>
      <c r="G93" s="16">
        <v>42948</v>
      </c>
      <c r="H93" s="15">
        <v>12.934937028</v>
      </c>
      <c r="I93" s="15">
        <f t="shared" si="6"/>
        <v>2.6727648878590634E-2</v>
      </c>
      <c r="J93" s="16">
        <v>42948</v>
      </c>
      <c r="K93" s="15">
        <v>33.357865873999998</v>
      </c>
      <c r="L93" s="15">
        <f t="shared" si="7"/>
        <v>0.11401306995745324</v>
      </c>
    </row>
    <row r="94" spans="1:12" x14ac:dyDescent="0.25">
      <c r="A94" s="16">
        <v>42979</v>
      </c>
      <c r="B94" s="15">
        <v>74293.509999999995</v>
      </c>
      <c r="C94" s="15">
        <f t="shared" si="4"/>
        <v>4.7669664624983649E-2</v>
      </c>
      <c r="D94" s="16">
        <v>42979</v>
      </c>
      <c r="E94" s="15">
        <v>3.1680000000000001</v>
      </c>
      <c r="F94" s="15">
        <f t="shared" si="5"/>
        <v>6.6190800798814784E-3</v>
      </c>
      <c r="G94" s="16">
        <v>42979</v>
      </c>
      <c r="H94" s="15">
        <v>14.498500845000001</v>
      </c>
      <c r="I94" s="15">
        <f t="shared" si="6"/>
        <v>0.11411330679698073</v>
      </c>
      <c r="J94" s="16">
        <v>42979</v>
      </c>
      <c r="K94" s="15">
        <v>30.305449982999999</v>
      </c>
      <c r="L94" s="15">
        <f t="shared" si="7"/>
        <v>-9.596603907543326E-2</v>
      </c>
    </row>
    <row r="95" spans="1:12" x14ac:dyDescent="0.25">
      <c r="A95" s="16">
        <v>43009</v>
      </c>
      <c r="B95" s="15">
        <v>74308.490000000005</v>
      </c>
      <c r="C95" s="15">
        <f t="shared" si="4"/>
        <v>2.0161236121652817E-4</v>
      </c>
      <c r="D95" s="16">
        <v>43009</v>
      </c>
      <c r="E95" s="15">
        <v>3.2768999999999999</v>
      </c>
      <c r="F95" s="15">
        <f t="shared" si="5"/>
        <v>3.3797379583290495E-2</v>
      </c>
      <c r="G95" s="16">
        <v>43009</v>
      </c>
      <c r="H95" s="15">
        <v>15.891494063</v>
      </c>
      <c r="I95" s="15">
        <f t="shared" si="6"/>
        <v>9.1738747408965898E-2</v>
      </c>
      <c r="J95" s="16">
        <v>43009</v>
      </c>
      <c r="K95" s="15">
        <v>30.524158910000001</v>
      </c>
      <c r="L95" s="15">
        <f t="shared" si="7"/>
        <v>7.190901714332047E-3</v>
      </c>
    </row>
    <row r="96" spans="1:12" x14ac:dyDescent="0.25">
      <c r="A96" s="16">
        <v>43040</v>
      </c>
      <c r="B96" s="15">
        <v>71970.990000000005</v>
      </c>
      <c r="C96" s="15">
        <f t="shared" si="4"/>
        <v>-3.1962090526351156E-2</v>
      </c>
      <c r="D96" s="16">
        <v>43040</v>
      </c>
      <c r="E96" s="15">
        <v>3.2616000000000001</v>
      </c>
      <c r="F96" s="15">
        <f t="shared" si="5"/>
        <v>-4.6799810125634066E-3</v>
      </c>
      <c r="G96" s="16">
        <v>43040</v>
      </c>
      <c r="H96" s="15">
        <v>14.574309999</v>
      </c>
      <c r="I96" s="15">
        <f t="shared" si="6"/>
        <v>-8.652361178098178E-2</v>
      </c>
      <c r="J96" s="16">
        <v>43040</v>
      </c>
      <c r="K96" s="15">
        <v>33.414920377000001</v>
      </c>
      <c r="L96" s="15">
        <f t="shared" si="7"/>
        <v>9.0484052626989886E-2</v>
      </c>
    </row>
    <row r="97" spans="1:12" x14ac:dyDescent="0.25">
      <c r="A97" s="16">
        <v>43070</v>
      </c>
      <c r="B97" s="15">
        <v>76402.080000000002</v>
      </c>
      <c r="C97" s="15">
        <f t="shared" si="4"/>
        <v>5.9746799776109097E-2</v>
      </c>
      <c r="D97" s="16">
        <v>43070</v>
      </c>
      <c r="E97" s="15">
        <v>3.3079999999999998</v>
      </c>
      <c r="F97" s="15">
        <f t="shared" si="5"/>
        <v>1.4125904638538187E-2</v>
      </c>
      <c r="G97" s="16">
        <v>43070</v>
      </c>
      <c r="H97" s="15">
        <v>15.256592392</v>
      </c>
      <c r="I97" s="15">
        <f t="shared" si="6"/>
        <v>4.5751307934483697E-2</v>
      </c>
      <c r="J97" s="16">
        <v>43070</v>
      </c>
      <c r="K97" s="15">
        <v>38.692518428</v>
      </c>
      <c r="L97" s="15">
        <f t="shared" si="7"/>
        <v>0.14664374096449281</v>
      </c>
    </row>
    <row r="98" spans="1:12" x14ac:dyDescent="0.25">
      <c r="A98" s="16">
        <v>43101</v>
      </c>
      <c r="B98" s="15">
        <v>84912.7</v>
      </c>
      <c r="C98" s="15">
        <f t="shared" si="4"/>
        <v>0.10561374894769644</v>
      </c>
      <c r="D98" s="16">
        <v>43101</v>
      </c>
      <c r="E98" s="15">
        <v>3.1623999999999999</v>
      </c>
      <c r="F98" s="15">
        <f t="shared" si="5"/>
        <v>-4.5012544161106165E-2</v>
      </c>
      <c r="G98" s="16">
        <v>43101</v>
      </c>
      <c r="H98" s="15">
        <v>18.668004356000001</v>
      </c>
      <c r="I98" s="15">
        <f t="shared" si="6"/>
        <v>0.20179936378413568</v>
      </c>
      <c r="J98" s="16">
        <v>43101</v>
      </c>
      <c r="K98" s="15">
        <v>39.836187006000003</v>
      </c>
      <c r="L98" s="15">
        <f t="shared" si="7"/>
        <v>2.9129461382727543E-2</v>
      </c>
    </row>
    <row r="99" spans="1:12" x14ac:dyDescent="0.25">
      <c r="A99" s="16">
        <v>43132</v>
      </c>
      <c r="B99" s="15">
        <v>85353.600000000006</v>
      </c>
      <c r="C99" s="15">
        <f t="shared" si="4"/>
        <v>5.1789577323283677E-3</v>
      </c>
      <c r="D99" s="16">
        <v>43132</v>
      </c>
      <c r="E99" s="15">
        <v>3.2448999999999999</v>
      </c>
      <c r="F99" s="15">
        <f t="shared" si="5"/>
        <v>2.5753300039886004E-2</v>
      </c>
      <c r="G99" s="16">
        <v>43132</v>
      </c>
      <c r="H99" s="15">
        <v>20.335805761</v>
      </c>
      <c r="I99" s="15">
        <f t="shared" si="6"/>
        <v>8.5572101488413724E-2</v>
      </c>
      <c r="J99" s="16">
        <v>43132</v>
      </c>
      <c r="K99" s="15">
        <v>43.296024719000002</v>
      </c>
      <c r="L99" s="15">
        <f t="shared" si="7"/>
        <v>8.3285102463152197E-2</v>
      </c>
    </row>
    <row r="100" spans="1:12" x14ac:dyDescent="0.25">
      <c r="A100" s="16">
        <v>43160</v>
      </c>
      <c r="B100" s="15">
        <v>85365.56</v>
      </c>
      <c r="C100" s="15">
        <f t="shared" si="4"/>
        <v>1.4011315448775362E-4</v>
      </c>
      <c r="D100" s="16">
        <v>43160</v>
      </c>
      <c r="E100" s="15">
        <v>3.3237999999999999</v>
      </c>
      <c r="F100" s="15">
        <f t="shared" si="5"/>
        <v>2.4024173671061036E-2</v>
      </c>
      <c r="G100" s="16">
        <v>43160</v>
      </c>
      <c r="H100" s="15">
        <v>20.288425039</v>
      </c>
      <c r="I100" s="15">
        <f t="shared" si="6"/>
        <v>-2.3326346149024628E-3</v>
      </c>
      <c r="J100" s="16">
        <v>43160</v>
      </c>
      <c r="K100" s="15">
        <v>41.027447752</v>
      </c>
      <c r="L100" s="15">
        <f t="shared" si="7"/>
        <v>-5.3819522835014649E-2</v>
      </c>
    </row>
    <row r="101" spans="1:12" x14ac:dyDescent="0.25">
      <c r="A101" s="16">
        <v>43191</v>
      </c>
      <c r="B101" s="15">
        <v>86115.5</v>
      </c>
      <c r="C101" s="15">
        <f t="shared" si="4"/>
        <v>8.7466776929713812E-3</v>
      </c>
      <c r="D101" s="16">
        <v>43191</v>
      </c>
      <c r="E101" s="15">
        <v>3.4811000000000001</v>
      </c>
      <c r="F101" s="15">
        <f t="shared" si="5"/>
        <v>4.6239629082583437E-2</v>
      </c>
      <c r="G101" s="16">
        <v>43191</v>
      </c>
      <c r="H101" s="15">
        <v>21.766703556</v>
      </c>
      <c r="I101" s="15">
        <f t="shared" si="6"/>
        <v>7.0330914073944817E-2</v>
      </c>
      <c r="J101" s="16">
        <v>43191</v>
      </c>
      <c r="K101" s="15">
        <v>47.306464867999999</v>
      </c>
      <c r="L101" s="15">
        <f t="shared" si="7"/>
        <v>0.14240566404516627</v>
      </c>
    </row>
    <row r="102" spans="1:12" x14ac:dyDescent="0.25">
      <c r="A102" s="16">
        <v>43221</v>
      </c>
      <c r="B102" s="15">
        <v>76753.61</v>
      </c>
      <c r="C102" s="15">
        <f t="shared" si="4"/>
        <v>-0.11508899726847638</v>
      </c>
      <c r="D102" s="16">
        <v>43221</v>
      </c>
      <c r="E102" s="15">
        <v>3.7370000000000001</v>
      </c>
      <c r="F102" s="15">
        <f t="shared" si="5"/>
        <v>7.0934814709477642E-2</v>
      </c>
      <c r="G102" s="16">
        <v>43221</v>
      </c>
      <c r="H102" s="15">
        <v>18.021693407000001</v>
      </c>
      <c r="I102" s="15">
        <f t="shared" si="6"/>
        <v>-0.18880522085915072</v>
      </c>
      <c r="J102" s="16">
        <v>43221</v>
      </c>
      <c r="K102" s="15">
        <v>49.211553653000003</v>
      </c>
      <c r="L102" s="15">
        <f t="shared" si="7"/>
        <v>3.9481462146754943E-2</v>
      </c>
    </row>
    <row r="103" spans="1:12" x14ac:dyDescent="0.25">
      <c r="A103" s="16">
        <v>43252</v>
      </c>
      <c r="B103" s="15">
        <v>72762.52</v>
      </c>
      <c r="C103" s="15">
        <f t="shared" si="4"/>
        <v>-5.3399433727097906E-2</v>
      </c>
      <c r="D103" s="16">
        <v>43252</v>
      </c>
      <c r="E103" s="15">
        <v>3.8557999999999999</v>
      </c>
      <c r="F103" s="15">
        <f t="shared" si="5"/>
        <v>3.1295357679884603E-2</v>
      </c>
      <c r="G103" s="16">
        <v>43252</v>
      </c>
      <c r="H103" s="15">
        <v>16.32207111</v>
      </c>
      <c r="I103" s="15">
        <f t="shared" si="6"/>
        <v>-9.905797378227893E-2</v>
      </c>
      <c r="J103" s="16">
        <v>43252</v>
      </c>
      <c r="K103" s="15">
        <v>48.200690215999998</v>
      </c>
      <c r="L103" s="15">
        <f t="shared" si="7"/>
        <v>-2.0755085487409574E-2</v>
      </c>
    </row>
    <row r="104" spans="1:12" x14ac:dyDescent="0.25">
      <c r="A104" s="16">
        <v>43282</v>
      </c>
      <c r="B104" s="15">
        <v>79220.44</v>
      </c>
      <c r="C104" s="15">
        <f t="shared" si="4"/>
        <v>8.5033358866660538E-2</v>
      </c>
      <c r="D104" s="16">
        <v>43282</v>
      </c>
      <c r="E104" s="15">
        <v>3.7549000000000001</v>
      </c>
      <c r="F104" s="15">
        <f t="shared" si="5"/>
        <v>-2.651685448020423E-2</v>
      </c>
      <c r="G104" s="16">
        <v>43282</v>
      </c>
      <c r="H104" s="15">
        <v>18.724330557999998</v>
      </c>
      <c r="I104" s="15">
        <f t="shared" si="6"/>
        <v>0.13730552978849278</v>
      </c>
      <c r="J104" s="16">
        <v>43282</v>
      </c>
      <c r="K104" s="15">
        <v>53.303606602999999</v>
      </c>
      <c r="L104" s="15">
        <f t="shared" si="7"/>
        <v>0.1006306541920611</v>
      </c>
    </row>
    <row r="105" spans="1:12" x14ac:dyDescent="0.25">
      <c r="A105" s="16">
        <v>43313</v>
      </c>
      <c r="B105" s="15">
        <v>76677.53</v>
      </c>
      <c r="C105" s="15">
        <f t="shared" si="4"/>
        <v>-3.2625640461959197E-2</v>
      </c>
      <c r="D105" s="16">
        <v>43313</v>
      </c>
      <c r="E105" s="15">
        <v>4.1353</v>
      </c>
      <c r="F105" s="15">
        <f t="shared" si="5"/>
        <v>9.6498223531470917E-2</v>
      </c>
      <c r="G105" s="16">
        <v>43313</v>
      </c>
      <c r="H105" s="15">
        <v>18.333297873999999</v>
      </c>
      <c r="I105" s="15">
        <f t="shared" si="6"/>
        <v>-2.1104815105500496E-2</v>
      </c>
      <c r="J105" s="16">
        <v>43313</v>
      </c>
      <c r="K105" s="15">
        <v>53.62</v>
      </c>
      <c r="L105" s="15">
        <f t="shared" si="7"/>
        <v>5.918137827700563E-3</v>
      </c>
    </row>
    <row r="106" spans="1:12" x14ac:dyDescent="0.25">
      <c r="A106" s="16">
        <v>43344</v>
      </c>
      <c r="B106" s="15">
        <v>79342.429999999993</v>
      </c>
      <c r="C106" s="15">
        <f t="shared" si="4"/>
        <v>3.4164336426133736E-2</v>
      </c>
      <c r="D106" s="16">
        <v>43344</v>
      </c>
      <c r="E106" s="15">
        <v>4.0038999999999998</v>
      </c>
      <c r="F106" s="15">
        <f t="shared" si="5"/>
        <v>-3.2290991118380109E-2</v>
      </c>
      <c r="G106" s="16">
        <v>43344</v>
      </c>
      <c r="H106" s="15">
        <v>20.075246738000001</v>
      </c>
      <c r="I106" s="15">
        <f t="shared" si="6"/>
        <v>9.0768588149722371E-2</v>
      </c>
      <c r="J106" s="16">
        <v>43344</v>
      </c>
      <c r="K106" s="15">
        <v>59.82</v>
      </c>
      <c r="L106" s="15">
        <f t="shared" si="7"/>
        <v>0.10941792039398884</v>
      </c>
    </row>
    <row r="107" spans="1:12" x14ac:dyDescent="0.25">
      <c r="A107" s="16">
        <v>43374</v>
      </c>
      <c r="B107" s="15">
        <v>87423.55</v>
      </c>
      <c r="C107" s="15">
        <f t="shared" si="4"/>
        <v>9.6991654871545124E-2</v>
      </c>
      <c r="D107" s="16">
        <v>43374</v>
      </c>
      <c r="E107" s="15">
        <v>3.7176999999999998</v>
      </c>
      <c r="F107" s="15">
        <f t="shared" si="5"/>
        <v>-7.416368861458833E-2</v>
      </c>
      <c r="G107" s="16">
        <v>43374</v>
      </c>
      <c r="H107" s="15">
        <v>26.291053338000001</v>
      </c>
      <c r="I107" s="15">
        <f t="shared" si="6"/>
        <v>0.26974115348119287</v>
      </c>
      <c r="J107" s="16">
        <v>43374</v>
      </c>
      <c r="K107" s="15">
        <v>56.71</v>
      </c>
      <c r="L107" s="15">
        <f t="shared" si="7"/>
        <v>-5.338949117586534E-2</v>
      </c>
    </row>
    <row r="108" spans="1:12" x14ac:dyDescent="0.25">
      <c r="A108" s="16">
        <v>43405</v>
      </c>
      <c r="B108" s="15">
        <v>89504.03</v>
      </c>
      <c r="C108" s="15">
        <f t="shared" si="4"/>
        <v>2.3518955032985907E-2</v>
      </c>
      <c r="D108" s="16">
        <v>43405</v>
      </c>
      <c r="E108" s="15">
        <v>3.8633000000000002</v>
      </c>
      <c r="F108" s="15">
        <f t="shared" si="5"/>
        <v>3.8416543017102171E-2</v>
      </c>
      <c r="G108" s="16">
        <v>43405</v>
      </c>
      <c r="H108" s="15">
        <v>24.331651804</v>
      </c>
      <c r="I108" s="15">
        <f t="shared" si="6"/>
        <v>-7.745065790066312E-2</v>
      </c>
      <c r="J108" s="16">
        <v>43405</v>
      </c>
      <c r="K108" s="15">
        <v>52.8</v>
      </c>
      <c r="L108" s="15">
        <f t="shared" si="7"/>
        <v>-7.1439371313720967E-2</v>
      </c>
    </row>
    <row r="109" spans="1:12" x14ac:dyDescent="0.25">
      <c r="A109" s="16">
        <v>43435</v>
      </c>
      <c r="B109" s="15">
        <v>87887.27</v>
      </c>
      <c r="C109" s="15">
        <f t="shared" si="4"/>
        <v>-1.822868166012525E-2</v>
      </c>
      <c r="D109" s="16">
        <v>43435</v>
      </c>
      <c r="E109" s="15">
        <v>3.8748</v>
      </c>
      <c r="F109" s="15">
        <f t="shared" si="5"/>
        <v>2.972308051460963E-3</v>
      </c>
      <c r="G109" s="16">
        <v>43435</v>
      </c>
      <c r="H109" s="15">
        <v>22.402550191</v>
      </c>
      <c r="I109" s="15">
        <f t="shared" si="6"/>
        <v>-8.2603245953964607E-2</v>
      </c>
      <c r="J109" s="16">
        <v>43435</v>
      </c>
      <c r="K109" s="15">
        <v>51</v>
      </c>
      <c r="L109" s="15">
        <f t="shared" si="7"/>
        <v>-3.4685557987889984E-2</v>
      </c>
    </row>
    <row r="110" spans="1:12" x14ac:dyDescent="0.25">
      <c r="A110" s="16">
        <v>43466</v>
      </c>
      <c r="B110" s="15">
        <v>97393.75</v>
      </c>
      <c r="C110" s="15">
        <f t="shared" si="4"/>
        <v>0.10270706967186932</v>
      </c>
      <c r="D110" s="16">
        <v>43466</v>
      </c>
      <c r="E110" s="15">
        <v>3.6518999999999999</v>
      </c>
      <c r="F110" s="15">
        <f t="shared" si="5"/>
        <v>-5.9246468468569499E-2</v>
      </c>
      <c r="G110" s="16">
        <v>43466</v>
      </c>
      <c r="H110" s="15">
        <v>25.267073804999999</v>
      </c>
      <c r="I110" s="15">
        <f t="shared" si="6"/>
        <v>0.12032731731142245</v>
      </c>
      <c r="J110" s="16">
        <v>43466</v>
      </c>
      <c r="K110" s="15">
        <v>45.5</v>
      </c>
      <c r="L110" s="15">
        <f t="shared" si="7"/>
        <v>-0.11411330676742099</v>
      </c>
    </row>
    <row r="111" spans="1:12" x14ac:dyDescent="0.25">
      <c r="A111" s="16">
        <v>43497</v>
      </c>
      <c r="B111" s="15">
        <v>95584.35</v>
      </c>
      <c r="C111" s="15">
        <f t="shared" si="4"/>
        <v>-1.8752936484089194E-2</v>
      </c>
      <c r="D111" s="16">
        <v>43497</v>
      </c>
      <c r="E111" s="15">
        <v>3.7385000000000002</v>
      </c>
      <c r="F111" s="15">
        <f t="shared" si="5"/>
        <v>2.3436881356310002E-2</v>
      </c>
      <c r="G111" s="16">
        <v>43497</v>
      </c>
      <c r="H111" s="15">
        <v>26.728968613999999</v>
      </c>
      <c r="I111" s="15">
        <f t="shared" si="6"/>
        <v>5.6245826566818445E-2</v>
      </c>
      <c r="J111" s="16">
        <v>43497</v>
      </c>
      <c r="K111" s="15">
        <v>47.1</v>
      </c>
      <c r="L111" s="15">
        <f t="shared" si="7"/>
        <v>3.4560675065467429E-2</v>
      </c>
    </row>
    <row r="112" spans="1:12" x14ac:dyDescent="0.25">
      <c r="A112" s="16">
        <v>43525</v>
      </c>
      <c r="B112" s="15">
        <v>95414.56</v>
      </c>
      <c r="C112" s="15">
        <f t="shared" si="4"/>
        <v>-1.7779163737147335E-3</v>
      </c>
      <c r="D112" s="16">
        <v>43525</v>
      </c>
      <c r="E112" s="15">
        <v>3.8967000000000001</v>
      </c>
      <c r="F112" s="15">
        <f t="shared" si="5"/>
        <v>4.144557964137769E-2</v>
      </c>
      <c r="G112" s="16">
        <v>43525</v>
      </c>
      <c r="H112" s="15">
        <v>27.716735377999999</v>
      </c>
      <c r="I112" s="15">
        <f t="shared" si="6"/>
        <v>3.6288451958125759E-2</v>
      </c>
      <c r="J112" s="16">
        <v>43525</v>
      </c>
      <c r="K112" s="15">
        <v>50.93</v>
      </c>
      <c r="L112" s="15">
        <f t="shared" si="7"/>
        <v>7.817913987414106E-2</v>
      </c>
    </row>
    <row r="113" spans="1:12" x14ac:dyDescent="0.25">
      <c r="A113" s="16">
        <v>43556</v>
      </c>
      <c r="B113" s="15">
        <v>96353.33</v>
      </c>
      <c r="C113" s="15">
        <f t="shared" si="4"/>
        <v>9.7907684037081416E-3</v>
      </c>
      <c r="D113" s="16">
        <v>43556</v>
      </c>
      <c r="E113" s="15">
        <v>3.9453</v>
      </c>
      <c r="F113" s="15">
        <f t="shared" si="5"/>
        <v>1.2394955934680946E-2</v>
      </c>
      <c r="G113" s="16">
        <v>43556</v>
      </c>
      <c r="H113" s="15">
        <v>26.797073455</v>
      </c>
      <c r="I113" s="15">
        <f t="shared" si="6"/>
        <v>-3.3743713915870797E-2</v>
      </c>
      <c r="J113" s="16">
        <v>43556</v>
      </c>
      <c r="K113" s="15">
        <v>50.1</v>
      </c>
      <c r="L113" s="15">
        <f t="shared" si="7"/>
        <v>-1.6431132805694089E-2</v>
      </c>
    </row>
    <row r="114" spans="1:12" x14ac:dyDescent="0.25">
      <c r="A114" s="16">
        <v>43586</v>
      </c>
      <c r="B114" s="15">
        <v>97030.32</v>
      </c>
      <c r="C114" s="15">
        <f t="shared" si="4"/>
        <v>7.0015512231661053E-3</v>
      </c>
      <c r="D114" s="16">
        <v>43586</v>
      </c>
      <c r="E114" s="15">
        <v>3.9407000000000001</v>
      </c>
      <c r="F114" s="15">
        <f t="shared" si="5"/>
        <v>-1.1666245299826428E-3</v>
      </c>
      <c r="G114" s="16">
        <v>43586</v>
      </c>
      <c r="H114" s="15">
        <v>25.350779726999999</v>
      </c>
      <c r="I114" s="15">
        <f t="shared" si="6"/>
        <v>-5.5483194088120733E-2</v>
      </c>
      <c r="J114" s="16">
        <v>43586</v>
      </c>
      <c r="K114" s="15">
        <v>49</v>
      </c>
      <c r="L114" s="15">
        <f t="shared" si="7"/>
        <v>-2.220070998019253E-2</v>
      </c>
    </row>
    <row r="115" spans="1:12" x14ac:dyDescent="0.25">
      <c r="A115" s="16">
        <v>43617</v>
      </c>
      <c r="B115" s="15">
        <v>100967.2</v>
      </c>
      <c r="C115" s="15">
        <f t="shared" si="4"/>
        <v>3.9772204641649669E-2</v>
      </c>
      <c r="D115" s="16">
        <v>43617</v>
      </c>
      <c r="E115" s="15">
        <v>3.8321999999999998</v>
      </c>
      <c r="F115" s="15">
        <f t="shared" si="5"/>
        <v>-2.7919321690447831E-2</v>
      </c>
      <c r="G115" s="16">
        <v>43617</v>
      </c>
      <c r="H115" s="15">
        <v>27.196276803</v>
      </c>
      <c r="I115" s="15">
        <f t="shared" si="6"/>
        <v>7.0270593664376629E-2</v>
      </c>
      <c r="J115" s="16">
        <v>43617</v>
      </c>
      <c r="K115" s="15">
        <v>51.82</v>
      </c>
      <c r="L115" s="15">
        <f t="shared" si="7"/>
        <v>5.5955877023337326E-2</v>
      </c>
    </row>
    <row r="116" spans="1:12" x14ac:dyDescent="0.25">
      <c r="A116" s="16">
        <v>43647</v>
      </c>
      <c r="B116" s="15">
        <v>101812.13</v>
      </c>
      <c r="C116" s="15">
        <f t="shared" si="4"/>
        <v>8.3335406017840622E-3</v>
      </c>
      <c r="D116" s="16">
        <v>43647</v>
      </c>
      <c r="E116" s="15">
        <v>3.7648999999999999</v>
      </c>
      <c r="F116" s="15">
        <f t="shared" si="5"/>
        <v>-1.7717750339305602E-2</v>
      </c>
      <c r="G116" s="16">
        <v>43647</v>
      </c>
      <c r="H116" s="15">
        <v>25.876647172999999</v>
      </c>
      <c r="I116" s="15">
        <f t="shared" si="6"/>
        <v>-4.9739173270778141E-2</v>
      </c>
      <c r="J116" s="16">
        <v>43647</v>
      </c>
      <c r="K116" s="15">
        <v>49.81</v>
      </c>
      <c r="L116" s="15">
        <f t="shared" si="7"/>
        <v>-3.9560408048771839E-2</v>
      </c>
    </row>
    <row r="117" spans="1:12" x14ac:dyDescent="0.25">
      <c r="A117" s="16">
        <v>43678</v>
      </c>
      <c r="B117" s="15">
        <v>101134.61</v>
      </c>
      <c r="C117" s="15">
        <f t="shared" si="4"/>
        <v>-6.6768504584373859E-3</v>
      </c>
      <c r="D117" s="16">
        <v>43678</v>
      </c>
      <c r="E117" s="15">
        <v>4.1384999999999996</v>
      </c>
      <c r="F117" s="15">
        <f t="shared" si="5"/>
        <v>9.4612102869157555E-2</v>
      </c>
      <c r="G117" s="16">
        <v>43678</v>
      </c>
      <c r="H117" s="15">
        <v>25.5</v>
      </c>
      <c r="I117" s="15">
        <f t="shared" si="6"/>
        <v>-1.4662456254916759E-2</v>
      </c>
      <c r="J117" s="16">
        <v>43678</v>
      </c>
      <c r="K117" s="15">
        <v>45.57</v>
      </c>
      <c r="L117" s="15">
        <f t="shared" si="7"/>
        <v>-8.8966161809400882E-2</v>
      </c>
    </row>
    <row r="118" spans="1:12" x14ac:dyDescent="0.25">
      <c r="A118" s="16">
        <v>43709</v>
      </c>
      <c r="B118" s="15">
        <v>104531.93</v>
      </c>
      <c r="C118" s="15">
        <f t="shared" si="4"/>
        <v>3.304017320727827E-2</v>
      </c>
      <c r="D118" s="16">
        <v>43709</v>
      </c>
      <c r="E118" s="15">
        <v>4.0972</v>
      </c>
      <c r="F118" s="15">
        <f t="shared" si="5"/>
        <v>-1.0029589763070838E-2</v>
      </c>
      <c r="G118" s="16">
        <v>43709</v>
      </c>
      <c r="H118" s="15">
        <v>27.22</v>
      </c>
      <c r="I118" s="15">
        <f t="shared" si="6"/>
        <v>6.5273545058939494E-2</v>
      </c>
      <c r="J118" s="16">
        <v>43709</v>
      </c>
      <c r="K118" s="15">
        <v>48.4</v>
      </c>
      <c r="L118" s="15">
        <f t="shared" si="7"/>
        <v>6.0250208446794837E-2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2" verticalDpi="42949672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EB46-0648-894C-B121-E74D5CC81D41}">
  <dimension ref="A1:I48"/>
  <sheetViews>
    <sheetView topLeftCell="A31" zoomScale="120" zoomScaleNormal="120" workbookViewId="0">
      <selection activeCell="C44" sqref="C44"/>
    </sheetView>
  </sheetViews>
  <sheetFormatPr defaultColWidth="11" defaultRowHeight="15.75" x14ac:dyDescent="0.25"/>
  <cols>
    <col min="1" max="1" width="13.125" bestFit="1" customWidth="1"/>
    <col min="2" max="2" width="16.375" customWidth="1"/>
    <col min="3" max="3" width="13.125" bestFit="1" customWidth="1"/>
    <col min="4" max="4" width="17.375" bestFit="1" customWidth="1"/>
    <col min="5" max="5" width="13.125" bestFit="1" customWidth="1"/>
    <col min="6" max="6" width="12.5" bestFit="1" customWidth="1"/>
  </cols>
  <sheetData>
    <row r="1" spans="1:9" x14ac:dyDescent="0.25">
      <c r="B1" s="1" t="s">
        <v>20</v>
      </c>
      <c r="C1" s="1" t="s">
        <v>21</v>
      </c>
      <c r="I1" t="s">
        <v>63</v>
      </c>
    </row>
    <row r="2" spans="1:9" x14ac:dyDescent="0.25">
      <c r="A2" t="s">
        <v>22</v>
      </c>
      <c r="B2" s="7">
        <v>0.1341</v>
      </c>
      <c r="C2" s="7">
        <v>0.26619999999999999</v>
      </c>
      <c r="E2" t="s">
        <v>23</v>
      </c>
      <c r="F2">
        <f>CORREL(B2:B6,C2:C6)</f>
        <v>-0.60000438182738969</v>
      </c>
      <c r="G2" s="19" t="str">
        <f ca="1">_xlfn.FORMULATEXT(F2)</f>
        <v>=CORREL(B2:B6;C2:C6)</v>
      </c>
    </row>
    <row r="3" spans="1:9" x14ac:dyDescent="0.25">
      <c r="A3" t="s">
        <v>24</v>
      </c>
      <c r="B3" s="7">
        <v>9.4000000000000004E-3</v>
      </c>
      <c r="C3" s="7">
        <v>0.45129999999999998</v>
      </c>
    </row>
    <row r="4" spans="1:9" x14ac:dyDescent="0.25">
      <c r="A4" t="s">
        <v>25</v>
      </c>
      <c r="B4" s="7">
        <v>0.1021</v>
      </c>
      <c r="C4" s="7">
        <v>0.2021</v>
      </c>
    </row>
    <row r="5" spans="1:9" x14ac:dyDescent="0.25">
      <c r="A5" t="s">
        <v>26</v>
      </c>
      <c r="B5" s="7">
        <v>4.9099999999999998E-2</v>
      </c>
      <c r="C5" s="7">
        <v>0.17369999999999999</v>
      </c>
    </row>
    <row r="6" spans="1:9" x14ac:dyDescent="0.25">
      <c r="A6" t="s">
        <v>27</v>
      </c>
      <c r="B6" s="7">
        <v>0.1053</v>
      </c>
      <c r="C6" s="7">
        <v>0.15670000000000001</v>
      </c>
    </row>
    <row r="7" spans="1:9" x14ac:dyDescent="0.25">
      <c r="B7" s="35" t="s">
        <v>20</v>
      </c>
      <c r="C7" s="35" t="s">
        <v>21</v>
      </c>
    </row>
    <row r="8" spans="1:9" x14ac:dyDescent="0.25">
      <c r="A8" t="s">
        <v>34</v>
      </c>
      <c r="B8" s="7">
        <f>AVERAGE(B2:B6)</f>
        <v>7.9999999999999988E-2</v>
      </c>
      <c r="C8" s="7">
        <f>AVERAGE(C2:C6)</f>
        <v>0.25</v>
      </c>
      <c r="D8" s="19" t="str">
        <f ca="1">_xlfn.FORMULATEXT(C8)</f>
        <v>=MÉDIA(C2:C6)</v>
      </c>
    </row>
    <row r="9" spans="1:9" x14ac:dyDescent="0.25">
      <c r="A9" t="s">
        <v>55</v>
      </c>
      <c r="B9" s="7">
        <f>_xlfn.STDEV.S(B2:B6)</f>
        <v>4.9986198095074222E-2</v>
      </c>
      <c r="C9" s="7">
        <f>_xlfn.STDEV.S(C2:C6)</f>
        <v>0.12000533321482003</v>
      </c>
      <c r="D9" s="19" t="str">
        <f ca="1">_xlfn.FORMULATEXT(C9)</f>
        <v>=DESVPAD.A(C2:C6)</v>
      </c>
    </row>
    <row r="11" spans="1:9" x14ac:dyDescent="0.25">
      <c r="A11" t="s">
        <v>56</v>
      </c>
      <c r="B11" s="35" t="s">
        <v>20</v>
      </c>
      <c r="C11" s="35" t="s">
        <v>21</v>
      </c>
      <c r="D11" s="8" t="s">
        <v>58</v>
      </c>
      <c r="E11" s="8" t="s">
        <v>59</v>
      </c>
    </row>
    <row r="12" spans="1:9" x14ac:dyDescent="0.25">
      <c r="A12" s="2">
        <v>10000</v>
      </c>
      <c r="B12" s="2">
        <v>5000</v>
      </c>
      <c r="C12" s="2">
        <v>5000</v>
      </c>
      <c r="D12" s="4">
        <f>B13*B8+C13*C8</f>
        <v>0.16499999999999998</v>
      </c>
      <c r="E12" s="7">
        <f>SQRT(B13^2*B9^2+C13^2*C9^2+2*B13*C13*F2*B9*C9)</f>
        <v>4.9248134482434938E-2</v>
      </c>
    </row>
    <row r="13" spans="1:9" x14ac:dyDescent="0.25">
      <c r="A13" t="s">
        <v>57</v>
      </c>
      <c r="B13" s="7">
        <f>B12/A12</f>
        <v>0.5</v>
      </c>
      <c r="C13" s="7">
        <f>C12/A12</f>
        <v>0.5</v>
      </c>
      <c r="D13" s="19" t="str">
        <f ca="1">_xlfn.FORMULATEXT(D12)</f>
        <v>=B13*B8+C13*C8</v>
      </c>
    </row>
    <row r="15" spans="1:9" x14ac:dyDescent="0.25">
      <c r="B15" t="s">
        <v>60</v>
      </c>
    </row>
    <row r="16" spans="1:9" x14ac:dyDescent="0.25">
      <c r="B16" s="36" t="s">
        <v>61</v>
      </c>
      <c r="C16" s="36" t="s">
        <v>62</v>
      </c>
      <c r="D16" s="36" t="s">
        <v>58</v>
      </c>
      <c r="E16" s="36" t="s">
        <v>59</v>
      </c>
    </row>
    <row r="17" spans="2:5" x14ac:dyDescent="0.25">
      <c r="B17" s="3">
        <v>1</v>
      </c>
      <c r="C17" s="3">
        <v>0</v>
      </c>
      <c r="D17" s="4">
        <f>B17*$B$8+C17*$C$8</f>
        <v>7.9999999999999988E-2</v>
      </c>
      <c r="E17" s="7">
        <f>SQRT(B17^2*$B$9^2+C17^2*$C$9^2+2*B17*C17*$F$2*$B$9*$C$9)</f>
        <v>4.9986198095074222E-2</v>
      </c>
    </row>
    <row r="18" spans="2:5" x14ac:dyDescent="0.25">
      <c r="B18" s="3">
        <v>0.9</v>
      </c>
      <c r="C18" s="3">
        <v>0.1</v>
      </c>
      <c r="D18" s="4">
        <f t="shared" ref="D18:D26" si="0">B18*$B$8+C18*$C$8</f>
        <v>9.7000000000000003E-2</v>
      </c>
      <c r="E18" s="7">
        <f t="shared" ref="E18:E26" si="1">SQRT(B18^2*$B$9^2+C18^2*$C$9^2+2*B18*C18*$F$2*$B$9*$C$9)</f>
        <v>3.8987694853633008E-2</v>
      </c>
    </row>
    <row r="19" spans="2:5" x14ac:dyDescent="0.25">
      <c r="B19" s="3">
        <v>0.8</v>
      </c>
      <c r="C19" s="3">
        <v>0.2</v>
      </c>
      <c r="D19" s="4">
        <f t="shared" si="0"/>
        <v>0.11399999999999999</v>
      </c>
      <c r="E19" s="7">
        <f t="shared" si="1"/>
        <v>3.1991036244548264E-2</v>
      </c>
    </row>
    <row r="20" spans="2:5" x14ac:dyDescent="0.25">
      <c r="B20" s="3">
        <v>0.7</v>
      </c>
      <c r="C20" s="3">
        <v>0.3</v>
      </c>
      <c r="D20" s="4">
        <f t="shared" si="0"/>
        <v>0.13099999999999998</v>
      </c>
      <c r="E20" s="7">
        <f t="shared" si="1"/>
        <v>3.1761268079218745E-2</v>
      </c>
    </row>
    <row r="21" spans="2:5" x14ac:dyDescent="0.25">
      <c r="B21" s="3">
        <v>0.6</v>
      </c>
      <c r="C21" s="3">
        <v>0.4</v>
      </c>
      <c r="D21" s="4">
        <f t="shared" si="0"/>
        <v>0.14799999999999999</v>
      </c>
      <c r="E21" s="7">
        <f t="shared" si="1"/>
        <v>3.8419989588754436E-2</v>
      </c>
    </row>
    <row r="22" spans="2:5" x14ac:dyDescent="0.25">
      <c r="B22" s="3">
        <v>0.5</v>
      </c>
      <c r="C22" s="3">
        <v>0.5</v>
      </c>
      <c r="D22" s="4">
        <f t="shared" si="0"/>
        <v>0.16499999999999998</v>
      </c>
      <c r="E22" s="7">
        <f t="shared" si="1"/>
        <v>4.9248134482434938E-2</v>
      </c>
    </row>
    <row r="23" spans="2:5" x14ac:dyDescent="0.25">
      <c r="B23" s="3">
        <v>0.4</v>
      </c>
      <c r="C23" s="3">
        <v>0.6</v>
      </c>
      <c r="D23" s="4">
        <f t="shared" si="0"/>
        <v>0.182</v>
      </c>
      <c r="E23" s="7">
        <f t="shared" si="1"/>
        <v>6.2101751988168544E-2</v>
      </c>
    </row>
    <row r="24" spans="2:5" x14ac:dyDescent="0.25">
      <c r="B24" s="3">
        <v>0.3</v>
      </c>
      <c r="C24" s="3">
        <v>0.7</v>
      </c>
      <c r="D24" s="4">
        <f t="shared" si="0"/>
        <v>0.19899999999999998</v>
      </c>
      <c r="E24" s="7">
        <f t="shared" si="1"/>
        <v>7.5959477025582478E-2</v>
      </c>
    </row>
    <row r="25" spans="2:5" x14ac:dyDescent="0.25">
      <c r="B25" s="3">
        <v>0.2</v>
      </c>
      <c r="C25" s="3">
        <v>0.8</v>
      </c>
      <c r="D25" s="4">
        <f t="shared" si="0"/>
        <v>0.216</v>
      </c>
      <c r="E25" s="7">
        <f t="shared" si="1"/>
        <v>9.036051350009025E-2</v>
      </c>
    </row>
    <row r="26" spans="2:5" x14ac:dyDescent="0.25">
      <c r="B26" s="3">
        <v>0.1</v>
      </c>
      <c r="C26" s="3">
        <v>0.9</v>
      </c>
      <c r="D26" s="4">
        <f t="shared" si="0"/>
        <v>0.23300000000000001</v>
      </c>
      <c r="E26" s="7">
        <f t="shared" si="1"/>
        <v>0.10508172224511735</v>
      </c>
    </row>
    <row r="27" spans="2:5" x14ac:dyDescent="0.25">
      <c r="B27" s="3">
        <v>0</v>
      </c>
      <c r="C27" s="3">
        <v>1</v>
      </c>
      <c r="D27" s="4">
        <f>B27*$B$8+C27*$C$8</f>
        <v>0.25</v>
      </c>
      <c r="E27" s="7">
        <f>SQRT(B27^2*$B$9^2+C27^2*$C$9^2+2*B27*C27*$F$2*$B$9*$C$9)</f>
        <v>0.12000533321482003</v>
      </c>
    </row>
    <row r="31" spans="2:5" x14ac:dyDescent="0.25">
      <c r="C31">
        <v>10</v>
      </c>
    </row>
    <row r="32" spans="2:5" x14ac:dyDescent="0.25">
      <c r="C32">
        <v>12</v>
      </c>
      <c r="D32" s="21">
        <f>C32/C31-1</f>
        <v>0.19999999999999996</v>
      </c>
      <c r="E32" s="20">
        <f>D32</f>
        <v>0.19999999999999996</v>
      </c>
    </row>
    <row r="33" spans="1:6" x14ac:dyDescent="0.25">
      <c r="C33">
        <v>14</v>
      </c>
      <c r="D33" s="21">
        <f t="shared" ref="D33:D35" si="2">C33/C32-1</f>
        <v>0.16666666666666674</v>
      </c>
      <c r="E33" s="20">
        <f>(1+E32)*(1+D33)-1</f>
        <v>0.40000000000000013</v>
      </c>
    </row>
    <row r="34" spans="1:6" x14ac:dyDescent="0.25">
      <c r="C34">
        <v>11</v>
      </c>
      <c r="D34" s="21">
        <f t="shared" si="2"/>
        <v>-0.2142857142857143</v>
      </c>
      <c r="E34" s="20">
        <f t="shared" ref="E34:E35" si="3">(1+E33)*(1+D34)-1</f>
        <v>0.10000000000000009</v>
      </c>
    </row>
    <row r="35" spans="1:6" x14ac:dyDescent="0.25">
      <c r="C35">
        <v>18</v>
      </c>
      <c r="D35" s="21">
        <f t="shared" si="2"/>
        <v>0.63636363636363646</v>
      </c>
      <c r="E35" s="20">
        <f t="shared" si="3"/>
        <v>0.80000000000000027</v>
      </c>
      <c r="F35" s="21">
        <f>C35/C31-1</f>
        <v>0.8</v>
      </c>
    </row>
    <row r="38" spans="1:6" x14ac:dyDescent="0.25">
      <c r="B38" t="s">
        <v>70</v>
      </c>
    </row>
    <row r="39" spans="1:6" x14ac:dyDescent="0.25">
      <c r="A39" s="36" t="s">
        <v>71</v>
      </c>
      <c r="B39" s="36" t="s">
        <v>61</v>
      </c>
      <c r="C39" s="36" t="s">
        <v>62</v>
      </c>
      <c r="D39" s="36" t="s">
        <v>58</v>
      </c>
      <c r="E39" s="36" t="s">
        <v>59</v>
      </c>
    </row>
    <row r="40" spans="1:6" x14ac:dyDescent="0.25">
      <c r="A40" s="44">
        <f>B40+C40</f>
        <v>1</v>
      </c>
      <c r="B40" s="3">
        <v>0.74696072770341515</v>
      </c>
      <c r="C40" s="3">
        <v>0.25303927229658479</v>
      </c>
      <c r="D40" s="4">
        <f>B40*$B$8+C40*$C$8</f>
        <v>0.1230166762904194</v>
      </c>
      <c r="E40" s="7">
        <f>SQRT(B40^2*$B$9^2+C40^2*$C$9^2+2*B40*C40*$F$2*$B$9*$C$9)</f>
        <v>3.0913329849724946E-2</v>
      </c>
    </row>
    <row r="42" spans="1:6" x14ac:dyDescent="0.25">
      <c r="B42" t="s">
        <v>72</v>
      </c>
    </row>
    <row r="43" spans="1:6" x14ac:dyDescent="0.25">
      <c r="A43" s="47" t="s">
        <v>71</v>
      </c>
      <c r="B43" s="47" t="s">
        <v>61</v>
      </c>
      <c r="C43" s="47" t="s">
        <v>62</v>
      </c>
      <c r="D43" s="47" t="s">
        <v>58</v>
      </c>
      <c r="E43" s="47" t="s">
        <v>59</v>
      </c>
    </row>
    <row r="44" spans="1:6" x14ac:dyDescent="0.25">
      <c r="A44" s="44">
        <f>B44+C44</f>
        <v>0.99999999364365499</v>
      </c>
      <c r="B44" s="3">
        <v>0.54277705589169611</v>
      </c>
      <c r="C44" s="3">
        <v>0.45722293775195882</v>
      </c>
      <c r="D44" s="4">
        <f>B44*$B$8+C44*$C$8</f>
        <v>0.1577278989093254</v>
      </c>
      <c r="E44" s="7">
        <f>SQRT(B44^2*$B$9^2+C44^2*$C$9^2+2*B44*C44*$F$2*$B$9*$C$9)</f>
        <v>4.4275442682353179E-2</v>
      </c>
    </row>
    <row r="46" spans="1:6" x14ac:dyDescent="0.25">
      <c r="B46" s="45" t="s">
        <v>73</v>
      </c>
      <c r="C46" s="46">
        <v>0.09</v>
      </c>
      <c r="E46" s="49" t="s">
        <v>74</v>
      </c>
    </row>
    <row r="47" spans="1:6" x14ac:dyDescent="0.25">
      <c r="E47" s="48">
        <f>(D44-C46)/E44</f>
        <v>1.5296944492509761</v>
      </c>
    </row>
    <row r="48" spans="1:6" x14ac:dyDescent="0.25">
      <c r="D48" t="s">
        <v>75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76E6-6694-4ABB-BDB0-C90BA66E6C35}">
  <dimension ref="A1:P85"/>
  <sheetViews>
    <sheetView workbookViewId="0">
      <selection activeCell="J6" sqref="J6"/>
    </sheetView>
  </sheetViews>
  <sheetFormatPr defaultRowHeight="15.75" x14ac:dyDescent="0.25"/>
  <cols>
    <col min="1" max="1" width="15.5" bestFit="1" customWidth="1"/>
    <col min="6" max="6" width="9" customWidth="1"/>
    <col min="11" max="11" width="11.875" bestFit="1" customWidth="1"/>
    <col min="12" max="14" width="13.75" bestFit="1" customWidth="1"/>
    <col min="15" max="15" width="12.25" bestFit="1" customWidth="1"/>
  </cols>
  <sheetData>
    <row r="1" spans="1:14" x14ac:dyDescent="0.25">
      <c r="A1" t="s">
        <v>64</v>
      </c>
      <c r="B1" t="s">
        <v>18</v>
      </c>
      <c r="C1" t="s">
        <v>19</v>
      </c>
      <c r="D1" t="s">
        <v>65</v>
      </c>
      <c r="K1" t="s">
        <v>66</v>
      </c>
    </row>
    <row r="2" spans="1:14" ht="16.5" thickBot="1" x14ac:dyDescent="0.3">
      <c r="A2" s="37">
        <v>45803.705555555556</v>
      </c>
      <c r="B2" s="9">
        <v>29.710380554199219</v>
      </c>
      <c r="C2" s="9">
        <v>52.179023742675781</v>
      </c>
      <c r="D2" s="9">
        <v>67</v>
      </c>
      <c r="F2" t="s">
        <v>18</v>
      </c>
      <c r="G2" t="s">
        <v>19</v>
      </c>
      <c r="H2" t="s">
        <v>65</v>
      </c>
    </row>
    <row r="3" spans="1:14" x14ac:dyDescent="0.25">
      <c r="A3" s="37">
        <v>45804.705555555556</v>
      </c>
      <c r="B3" s="9">
        <v>29.9286994934082</v>
      </c>
      <c r="C3" s="9">
        <v>52.014785766601563</v>
      </c>
      <c r="D3" s="9">
        <v>68.400001525878906</v>
      </c>
      <c r="F3" s="21">
        <f>B3/B2-1</f>
        <v>7.348237724882356E-3</v>
      </c>
      <c r="G3" s="21">
        <f t="shared" ref="G3:H3" si="0">C3/C2-1</f>
        <v>-3.1475862194004778E-3</v>
      </c>
      <c r="H3" s="21">
        <f t="shared" si="0"/>
        <v>2.0895545162371798E-2</v>
      </c>
      <c r="K3" s="39"/>
      <c r="L3" s="39" t="s">
        <v>18</v>
      </c>
      <c r="M3" s="39" t="s">
        <v>19</v>
      </c>
      <c r="N3" s="39" t="s">
        <v>65</v>
      </c>
    </row>
    <row r="4" spans="1:14" x14ac:dyDescent="0.25">
      <c r="A4" s="37">
        <v>45805.705555555556</v>
      </c>
      <c r="B4" s="9">
        <v>29.83377838134766</v>
      </c>
      <c r="C4" s="9">
        <v>51.599365234375</v>
      </c>
      <c r="D4" s="9">
        <v>66.900001525878906</v>
      </c>
      <c r="F4" s="21">
        <f t="shared" ref="F4:F67" si="1">B4/B3-1</f>
        <v>-3.1715748985834402E-3</v>
      </c>
      <c r="G4" s="21">
        <f t="shared" ref="G4:G67" si="2">C4/C3-1</f>
        <v>-7.9865854699588956E-3</v>
      </c>
      <c r="H4" s="21">
        <f t="shared" ref="H4:H67" si="3">D4/D3-1</f>
        <v>-2.1929824072189241E-2</v>
      </c>
      <c r="K4" t="s">
        <v>18</v>
      </c>
      <c r="L4">
        <v>1</v>
      </c>
      <c r="M4">
        <f>L5</f>
        <v>-0.10007257491035954</v>
      </c>
      <c r="N4">
        <f>L6</f>
        <v>-4.503621228491142E-2</v>
      </c>
    </row>
    <row r="5" spans="1:14" x14ac:dyDescent="0.25">
      <c r="A5" s="37">
        <v>45806.705555555556</v>
      </c>
      <c r="B5" s="9">
        <v>29.653427124023441</v>
      </c>
      <c r="C5" s="9">
        <v>51.638008117675781</v>
      </c>
      <c r="D5" s="9">
        <v>66.430000305175781</v>
      </c>
      <c r="F5" s="21">
        <f t="shared" si="1"/>
        <v>-6.0452033603954902E-3</v>
      </c>
      <c r="G5" s="21">
        <f t="shared" si="2"/>
        <v>7.489022999653816E-4</v>
      </c>
      <c r="H5" s="21">
        <f t="shared" si="3"/>
        <v>-7.025429147730522E-3</v>
      </c>
      <c r="K5" t="s">
        <v>19</v>
      </c>
      <c r="L5">
        <v>-0.10007257491035954</v>
      </c>
      <c r="M5">
        <v>1</v>
      </c>
      <c r="N5">
        <f>M6</f>
        <v>4.3109751285868946E-4</v>
      </c>
    </row>
    <row r="6" spans="1:14" ht="16.5" thickBot="1" x14ac:dyDescent="0.3">
      <c r="A6" s="37">
        <v>45807.705555555556</v>
      </c>
      <c r="B6" s="9">
        <v>29.330694198608398</v>
      </c>
      <c r="C6" s="9">
        <v>50.333774566650391</v>
      </c>
      <c r="D6" s="9">
        <v>65.489997863769531</v>
      </c>
      <c r="F6" s="21">
        <f t="shared" si="1"/>
        <v>-1.0883494985764464E-2</v>
      </c>
      <c r="G6" s="21">
        <f t="shared" si="2"/>
        <v>-2.5257239745832716E-2</v>
      </c>
      <c r="H6" s="21">
        <f t="shared" si="3"/>
        <v>-1.4150270014871791E-2</v>
      </c>
      <c r="K6" s="38" t="s">
        <v>65</v>
      </c>
      <c r="L6" s="38">
        <v>-4.503621228491142E-2</v>
      </c>
      <c r="M6" s="38">
        <v>4.3109751285868946E-4</v>
      </c>
      <c r="N6" s="38">
        <v>1</v>
      </c>
    </row>
    <row r="7" spans="1:14" x14ac:dyDescent="0.25">
      <c r="A7" s="37">
        <v>45810.705555555556</v>
      </c>
      <c r="B7" s="9">
        <v>29.501554489135739</v>
      </c>
      <c r="C7" s="9">
        <v>50.778182983398438</v>
      </c>
      <c r="D7" s="9">
        <v>65.389999389648438</v>
      </c>
      <c r="F7" s="21">
        <f t="shared" si="1"/>
        <v>5.8253067373852385E-3</v>
      </c>
      <c r="G7" s="21">
        <f t="shared" si="2"/>
        <v>8.8292288940019503E-3</v>
      </c>
      <c r="H7" s="21">
        <f t="shared" si="3"/>
        <v>-1.5269274298818081E-3</v>
      </c>
    </row>
    <row r="8" spans="1:14" x14ac:dyDescent="0.25">
      <c r="A8" s="37">
        <v>45811.705555555556</v>
      </c>
      <c r="B8" s="9">
        <v>29.510517120361332</v>
      </c>
      <c r="C8" s="9">
        <v>50.749195098876953</v>
      </c>
      <c r="D8" s="9">
        <v>64.80999755859375</v>
      </c>
      <c r="F8" s="21">
        <f t="shared" si="1"/>
        <v>3.0380199893853543E-4</v>
      </c>
      <c r="G8" s="21">
        <f t="shared" si="2"/>
        <v>-5.7087282014323115E-4</v>
      </c>
      <c r="H8" s="21">
        <f t="shared" si="3"/>
        <v>-8.8698858612699105E-3</v>
      </c>
      <c r="K8" t="s">
        <v>67</v>
      </c>
    </row>
    <row r="9" spans="1:14" ht="16.5" thickBot="1" x14ac:dyDescent="0.3">
      <c r="A9" s="37">
        <v>45812.705555555556</v>
      </c>
      <c r="B9" s="9">
        <v>28.698928833007809</v>
      </c>
      <c r="C9" s="9">
        <v>50.981060028076172</v>
      </c>
      <c r="D9" s="9">
        <v>67.44000244140625</v>
      </c>
      <c r="F9" s="21">
        <f t="shared" si="1"/>
        <v>-2.7501662679897732E-2</v>
      </c>
      <c r="G9" s="21">
        <f t="shared" si="2"/>
        <v>4.5688395401635162E-3</v>
      </c>
      <c r="H9" s="21">
        <f t="shared" si="3"/>
        <v>4.0580234252203917E-2</v>
      </c>
    </row>
    <row r="10" spans="1:14" x14ac:dyDescent="0.25">
      <c r="A10" s="37">
        <v>45813.705555555556</v>
      </c>
      <c r="B10" s="9">
        <v>28.708707809448239</v>
      </c>
      <c r="C10" s="9">
        <v>51.116313934326172</v>
      </c>
      <c r="D10" s="9">
        <v>66.699996948242188</v>
      </c>
      <c r="F10" s="21">
        <f t="shared" si="1"/>
        <v>3.4074360396285641E-4</v>
      </c>
      <c r="G10" s="21">
        <f t="shared" si="2"/>
        <v>2.6530226357692754E-3</v>
      </c>
      <c r="H10" s="21">
        <f t="shared" si="3"/>
        <v>-1.09727975441134E-2</v>
      </c>
      <c r="K10" s="39"/>
      <c r="L10" s="39" t="s">
        <v>18</v>
      </c>
      <c r="M10" s="39" t="s">
        <v>19</v>
      </c>
      <c r="N10" s="39" t="s">
        <v>65</v>
      </c>
    </row>
    <row r="11" spans="1:14" x14ac:dyDescent="0.25">
      <c r="A11" s="37">
        <v>45814.705555555556</v>
      </c>
      <c r="B11" s="9">
        <v>29.011831283569339</v>
      </c>
      <c r="C11" s="9">
        <v>51.183940887451172</v>
      </c>
      <c r="D11" s="9">
        <v>64.510002136230469</v>
      </c>
      <c r="F11" s="21">
        <f t="shared" si="1"/>
        <v>1.0558589962775811E-2</v>
      </c>
      <c r="G11" s="21">
        <f t="shared" si="2"/>
        <v>1.3230013653153794E-3</v>
      </c>
      <c r="H11" s="21">
        <f t="shared" si="3"/>
        <v>-3.2833506929709544E-2</v>
      </c>
      <c r="K11" t="s">
        <v>18</v>
      </c>
      <c r="L11" s="40">
        <f>VARP('Cotações - Carteira'!$F$3:$F$85)</f>
        <v>1.8241712424158448E-4</v>
      </c>
      <c r="M11" s="40">
        <f>L12</f>
        <v>-1.7660732655035667E-5</v>
      </c>
      <c r="N11" s="40">
        <f>L13</f>
        <v>-1.5460124657131088E-5</v>
      </c>
    </row>
    <row r="12" spans="1:14" x14ac:dyDescent="0.25">
      <c r="A12" s="37">
        <v>45817.705555555556</v>
      </c>
      <c r="B12" s="9">
        <v>28.522922515869141</v>
      </c>
      <c r="C12" s="9">
        <v>51.483432769775391</v>
      </c>
      <c r="D12" s="9">
        <v>67.5</v>
      </c>
      <c r="F12" s="21">
        <f t="shared" si="1"/>
        <v>-1.6852047804961856E-2</v>
      </c>
      <c r="G12" s="21">
        <f t="shared" si="2"/>
        <v>5.8512861091093438E-3</v>
      </c>
      <c r="H12" s="21">
        <f t="shared" si="3"/>
        <v>4.6349368543738834E-2</v>
      </c>
      <c r="K12" t="s">
        <v>19</v>
      </c>
      <c r="L12" s="40">
        <v>-1.7660732655035667E-5</v>
      </c>
      <c r="M12" s="40">
        <f>VARP('Cotações - Carteira'!$G$3:$G$85)</f>
        <v>1.7073465396495131E-4</v>
      </c>
      <c r="N12" s="40">
        <f>M13</f>
        <v>1.4317087789178232E-7</v>
      </c>
    </row>
    <row r="13" spans="1:14" ht="16.5" thickBot="1" x14ac:dyDescent="0.3">
      <c r="A13" s="37">
        <v>45818.705555555556</v>
      </c>
      <c r="B13" s="9">
        <v>29.38339996337891</v>
      </c>
      <c r="C13" s="9">
        <v>51.831230163574219</v>
      </c>
      <c r="D13" s="9">
        <v>65.860000610351563</v>
      </c>
      <c r="F13" s="21">
        <f t="shared" si="1"/>
        <v>3.0167927113045057E-2</v>
      </c>
      <c r="G13" s="21">
        <f t="shared" si="2"/>
        <v>6.7555206614546837E-3</v>
      </c>
      <c r="H13" s="21">
        <f t="shared" si="3"/>
        <v>-2.4296287254050974E-2</v>
      </c>
      <c r="K13" s="38" t="s">
        <v>65</v>
      </c>
      <c r="L13" s="41">
        <v>-1.5460124657131088E-5</v>
      </c>
      <c r="M13" s="41">
        <v>1.4317087789178232E-7</v>
      </c>
      <c r="N13" s="41">
        <f>VARP('Cotações - Carteira'!$H$3:$H$85)</f>
        <v>6.4600616513254747E-4</v>
      </c>
    </row>
    <row r="14" spans="1:14" x14ac:dyDescent="0.25">
      <c r="A14" s="37">
        <v>45819.705555555556</v>
      </c>
      <c r="B14" s="9">
        <v>30.3612174987793</v>
      </c>
      <c r="C14" s="9">
        <v>51.377162933349609</v>
      </c>
      <c r="D14" s="9">
        <v>66.029998779296875</v>
      </c>
      <c r="F14" s="21">
        <f t="shared" si="1"/>
        <v>3.3277889441625685E-2</v>
      </c>
      <c r="G14" s="21">
        <f t="shared" si="2"/>
        <v>-8.760494952398723E-3</v>
      </c>
      <c r="H14" s="21">
        <f t="shared" si="3"/>
        <v>2.5812050921631968E-3</v>
      </c>
    </row>
    <row r="15" spans="1:14" x14ac:dyDescent="0.25">
      <c r="A15" s="37">
        <v>45820.705555555556</v>
      </c>
      <c r="B15" s="9">
        <v>31.04569053649902</v>
      </c>
      <c r="C15" s="9">
        <v>51.039028167724609</v>
      </c>
      <c r="D15" s="9">
        <v>68.860000610351563</v>
      </c>
      <c r="F15" s="21">
        <f t="shared" si="1"/>
        <v>2.2544321147438762E-2</v>
      </c>
      <c r="G15" s="21">
        <f t="shared" si="2"/>
        <v>-6.581421517253716E-3</v>
      </c>
      <c r="H15" s="21">
        <f t="shared" si="3"/>
        <v>4.2859334898882606E-2</v>
      </c>
    </row>
    <row r="16" spans="1:14" x14ac:dyDescent="0.25">
      <c r="A16" s="37">
        <v>45821.705555555556</v>
      </c>
      <c r="B16" s="9">
        <v>31.80838584899902</v>
      </c>
      <c r="C16" s="9">
        <v>50.362758636474609</v>
      </c>
      <c r="D16" s="9">
        <v>66.44000244140625</v>
      </c>
      <c r="F16" s="21">
        <f t="shared" si="1"/>
        <v>2.4566865781366021E-2</v>
      </c>
      <c r="G16" s="21">
        <f t="shared" si="2"/>
        <v>-1.3250047180123459E-2</v>
      </c>
      <c r="H16" s="21">
        <f t="shared" si="3"/>
        <v>-3.5143743065571775E-2</v>
      </c>
      <c r="K16" s="1" t="s">
        <v>18</v>
      </c>
      <c r="L16" s="1" t="s">
        <v>19</v>
      </c>
      <c r="M16" s="1" t="s">
        <v>65</v>
      </c>
    </row>
    <row r="17" spans="1:16" x14ac:dyDescent="0.25">
      <c r="A17" s="37">
        <v>45824.705555555556</v>
      </c>
      <c r="B17" s="9">
        <v>31.495485305786129</v>
      </c>
      <c r="C17" s="9">
        <v>52.005126953125</v>
      </c>
      <c r="D17" s="9">
        <v>69.989997863769531</v>
      </c>
      <c r="F17" s="21">
        <f t="shared" si="1"/>
        <v>-9.8370456362764092E-3</v>
      </c>
      <c r="G17" s="21">
        <f t="shared" si="2"/>
        <v>3.2610769566957964E-2</v>
      </c>
      <c r="H17" s="21">
        <f t="shared" si="3"/>
        <v>5.3431596807872461E-2</v>
      </c>
      <c r="J17" t="s">
        <v>68</v>
      </c>
      <c r="K17" s="4">
        <f>AVERAGE(F3:F85)</f>
        <v>6.2727668528403087E-4</v>
      </c>
      <c r="L17" s="4">
        <f t="shared" ref="L17:M17" si="4">AVERAGE(G3:G85)</f>
        <v>1.3437661158466796E-3</v>
      </c>
      <c r="M17" s="4">
        <f t="shared" si="4"/>
        <v>1.9553405499370905E-3</v>
      </c>
    </row>
    <row r="18" spans="1:16" x14ac:dyDescent="0.25">
      <c r="A18" s="37">
        <v>45825.705555555556</v>
      </c>
      <c r="B18" s="9">
        <v>32.20928955078125</v>
      </c>
      <c r="C18" s="9">
        <v>49.667167663574219</v>
      </c>
      <c r="D18" s="9">
        <v>70.099998474121094</v>
      </c>
      <c r="F18" s="21">
        <f t="shared" si="1"/>
        <v>2.2663700465793024E-2</v>
      </c>
      <c r="G18" s="21">
        <f t="shared" si="2"/>
        <v>-4.4956323088262251E-2</v>
      </c>
      <c r="H18" s="21">
        <f t="shared" si="3"/>
        <v>1.5716618618231148E-3</v>
      </c>
      <c r="J18" t="s">
        <v>69</v>
      </c>
      <c r="K18" s="7">
        <f>_xlfn.STDEV.S(F3:F85)</f>
        <v>1.3588293613169438E-2</v>
      </c>
      <c r="L18" s="7">
        <f t="shared" ref="L18:M18" si="5">_xlfn.STDEV.S(G3:G85)</f>
        <v>1.3145979761560305E-2</v>
      </c>
      <c r="M18" s="7">
        <f t="shared" si="5"/>
        <v>2.557116127784537E-2</v>
      </c>
    </row>
    <row r="19" spans="1:16" x14ac:dyDescent="0.25">
      <c r="A19" s="37">
        <v>45826.705555555556</v>
      </c>
      <c r="B19" s="9">
        <v>32.179958343505859</v>
      </c>
      <c r="C19" s="9">
        <v>49.5029296875</v>
      </c>
      <c r="D19" s="9">
        <v>72.900001525878906</v>
      </c>
      <c r="F19" s="21">
        <f t="shared" si="1"/>
        <v>-9.1064434156939988E-4</v>
      </c>
      <c r="G19" s="21">
        <f t="shared" si="2"/>
        <v>-3.3067715313807033E-3</v>
      </c>
      <c r="H19" s="21">
        <f t="shared" si="3"/>
        <v>3.9942983062852599E-2</v>
      </c>
    </row>
    <row r="20" spans="1:16" x14ac:dyDescent="0.25">
      <c r="A20" s="37">
        <v>45828.705555555556</v>
      </c>
      <c r="B20" s="9">
        <v>32.091953277587891</v>
      </c>
      <c r="C20" s="9">
        <v>48.227676391601563</v>
      </c>
      <c r="D20" s="9">
        <v>72.529998779296875</v>
      </c>
      <c r="F20" s="21">
        <f t="shared" si="1"/>
        <v>-2.7347787395669565E-3</v>
      </c>
      <c r="G20" s="21">
        <f t="shared" si="2"/>
        <v>-2.5761168156082981E-2</v>
      </c>
      <c r="H20" s="21">
        <f t="shared" si="3"/>
        <v>-5.0754833859734116E-3</v>
      </c>
      <c r="K20" s="1" t="s">
        <v>18</v>
      </c>
      <c r="L20" s="1" t="s">
        <v>19</v>
      </c>
      <c r="M20" s="1" t="s">
        <v>65</v>
      </c>
      <c r="N20" s="1" t="s">
        <v>58</v>
      </c>
      <c r="O20" s="1" t="s">
        <v>59</v>
      </c>
    </row>
    <row r="21" spans="1:16" x14ac:dyDescent="0.25">
      <c r="A21" s="37">
        <v>45831.705555555556</v>
      </c>
      <c r="B21" s="9">
        <v>31.290143966674801</v>
      </c>
      <c r="C21" s="9">
        <v>48.836318969726563</v>
      </c>
      <c r="D21" s="9">
        <v>73.040000915527344</v>
      </c>
      <c r="F21" s="21">
        <f t="shared" si="1"/>
        <v>-2.4984746300034333E-2</v>
      </c>
      <c r="G21" s="21">
        <f t="shared" si="2"/>
        <v>1.2620192878108227E-2</v>
      </c>
      <c r="H21" s="21">
        <f t="shared" si="3"/>
        <v>7.0316027135526316E-3</v>
      </c>
      <c r="J21" t="s">
        <v>57</v>
      </c>
      <c r="K21" s="3">
        <v>0.2</v>
      </c>
      <c r="L21" s="3">
        <v>0.3</v>
      </c>
      <c r="M21" s="3">
        <v>0.5</v>
      </c>
      <c r="N21" s="42">
        <f>SUMPRODUCT(K21:M21,K17:M17)</f>
        <v>1.5062554467793554E-3</v>
      </c>
      <c r="O21" s="24" cm="1">
        <f t="array" ref="O21">SQRT(MMULT(K21:M21,MMULT(L11:N13,TRANSPOSE(K21:M21))))</f>
        <v>1.3378938056624035E-2</v>
      </c>
      <c r="P21" s="19" t="str">
        <f ca="1">_xlfn.FORMULATEXT(O21)</f>
        <v>=RAIZ(MATRIZ.MULT(K21:M21;MATRIZ.MULT(L11:N13;TRANSPOR(K21:M21))))</v>
      </c>
    </row>
    <row r="22" spans="1:16" x14ac:dyDescent="0.25">
      <c r="A22" s="37">
        <v>45832.705555555556</v>
      </c>
      <c r="B22" s="9">
        <v>30.67411994934082</v>
      </c>
      <c r="C22" s="9">
        <v>48.82666015625</v>
      </c>
      <c r="D22" s="9">
        <v>73.19000244140625</v>
      </c>
      <c r="F22" s="21">
        <f t="shared" si="1"/>
        <v>-1.968747788409253E-2</v>
      </c>
      <c r="G22" s="21">
        <f t="shared" si="2"/>
        <v>-1.9777931015951822E-4</v>
      </c>
      <c r="H22" s="21">
        <f t="shared" si="3"/>
        <v>2.0536900876053643E-3</v>
      </c>
      <c r="N22" s="43">
        <f>K21*K17+L21*L17+M21*M17</f>
        <v>1.5062554467793554E-3</v>
      </c>
    </row>
    <row r="23" spans="1:16" x14ac:dyDescent="0.25">
      <c r="A23" s="37">
        <v>45833.705555555556</v>
      </c>
      <c r="B23" s="9">
        <v>30.517667770385739</v>
      </c>
      <c r="C23" s="9">
        <v>48.768692016601563</v>
      </c>
      <c r="D23" s="9">
        <v>73.080001831054688</v>
      </c>
      <c r="F23" s="21">
        <f t="shared" si="1"/>
        <v>-5.100461862099559E-3</v>
      </c>
      <c r="G23" s="21">
        <f t="shared" si="2"/>
        <v>-1.1872231166935032E-3</v>
      </c>
      <c r="H23" s="21">
        <f t="shared" si="3"/>
        <v>-1.5029458489173031E-3</v>
      </c>
    </row>
    <row r="24" spans="1:16" x14ac:dyDescent="0.25">
      <c r="A24" s="37">
        <v>45834.705555555556</v>
      </c>
      <c r="B24" s="9">
        <v>30.76212120056152</v>
      </c>
      <c r="C24" s="9">
        <v>50.237163543701172</v>
      </c>
      <c r="D24" s="9">
        <v>74.010002136230469</v>
      </c>
      <c r="F24" s="21">
        <f t="shared" si="1"/>
        <v>8.010226469959747E-3</v>
      </c>
      <c r="G24" s="21">
        <f t="shared" si="2"/>
        <v>3.0110947543963595E-2</v>
      </c>
      <c r="H24" s="21">
        <f t="shared" si="3"/>
        <v>1.2725783824222514E-2</v>
      </c>
    </row>
    <row r="25" spans="1:16" x14ac:dyDescent="0.25">
      <c r="A25" s="37">
        <v>45835.705555555556</v>
      </c>
      <c r="B25" s="9">
        <v>30.517667770385739</v>
      </c>
      <c r="C25" s="9">
        <v>51.077671051025391</v>
      </c>
      <c r="D25" s="9">
        <v>74.639999389648438</v>
      </c>
      <c r="F25" s="21">
        <f t="shared" si="1"/>
        <v>-7.946572623584891E-3</v>
      </c>
      <c r="G25" s="21">
        <f t="shared" si="2"/>
        <v>1.6730791470602524E-2</v>
      </c>
      <c r="H25" s="21">
        <f t="shared" si="3"/>
        <v>8.5123258375041644E-3</v>
      </c>
    </row>
    <row r="26" spans="1:16" x14ac:dyDescent="0.25">
      <c r="A26" s="37">
        <v>45838.705555555556</v>
      </c>
      <c r="B26" s="9">
        <v>30.683897018432621</v>
      </c>
      <c r="C26" s="9">
        <v>50.865131378173828</v>
      </c>
      <c r="D26" s="9">
        <v>77.010002136230469</v>
      </c>
      <c r="F26" s="21">
        <f t="shared" si="1"/>
        <v>5.4469839994848446E-3</v>
      </c>
      <c r="G26" s="21">
        <f t="shared" si="2"/>
        <v>-4.1611073582278335E-3</v>
      </c>
      <c r="H26" s="21">
        <f t="shared" si="3"/>
        <v>3.1752448632933916E-2</v>
      </c>
    </row>
    <row r="27" spans="1:16" x14ac:dyDescent="0.25">
      <c r="A27" s="37">
        <v>45839.705555555556</v>
      </c>
      <c r="B27" s="9">
        <v>30.79145622253418</v>
      </c>
      <c r="C27" s="9">
        <v>51.551059722900391</v>
      </c>
      <c r="D27" s="9">
        <v>80.410003662109375</v>
      </c>
      <c r="F27" s="21">
        <f t="shared" si="1"/>
        <v>3.5053958119122264E-3</v>
      </c>
      <c r="G27" s="21">
        <f t="shared" si="2"/>
        <v>1.3485236863477246E-2</v>
      </c>
      <c r="H27" s="21">
        <f t="shared" si="3"/>
        <v>4.4150128964602686E-2</v>
      </c>
    </row>
    <row r="28" spans="1:16" x14ac:dyDescent="0.25">
      <c r="A28" s="37">
        <v>45840.705555555556</v>
      </c>
      <c r="B28" s="9">
        <v>31.339033126831051</v>
      </c>
      <c r="C28" s="9">
        <v>53.42529296875</v>
      </c>
      <c r="D28" s="9">
        <v>79.620002746582031</v>
      </c>
      <c r="F28" s="21">
        <f t="shared" si="1"/>
        <v>1.7783403952689181E-2</v>
      </c>
      <c r="G28" s="21">
        <f t="shared" si="2"/>
        <v>3.6356832544744533E-2</v>
      </c>
      <c r="H28" s="21">
        <f t="shared" si="3"/>
        <v>-9.8246596138337194E-3</v>
      </c>
    </row>
    <row r="29" spans="1:16" x14ac:dyDescent="0.25">
      <c r="A29" s="37">
        <v>45841.705555555556</v>
      </c>
      <c r="B29" s="9">
        <v>31.44659423828125</v>
      </c>
      <c r="C29" s="9">
        <v>53.174106597900391</v>
      </c>
      <c r="D29" s="9">
        <v>83.139999389648438</v>
      </c>
      <c r="F29" s="21">
        <f t="shared" si="1"/>
        <v>3.4321770877516755E-3</v>
      </c>
      <c r="G29" s="21">
        <f t="shared" si="2"/>
        <v>-4.7016376867888843E-3</v>
      </c>
      <c r="H29" s="21">
        <f t="shared" si="3"/>
        <v>4.4209953801056745E-2</v>
      </c>
    </row>
    <row r="30" spans="1:16" x14ac:dyDescent="0.25">
      <c r="A30" s="37">
        <v>45842.705555555556</v>
      </c>
      <c r="B30" s="9">
        <v>31.407480239868161</v>
      </c>
      <c r="C30" s="9">
        <v>53.328681945800781</v>
      </c>
      <c r="D30" s="9">
        <v>83.489997863769531</v>
      </c>
      <c r="F30" s="21">
        <f t="shared" si="1"/>
        <v>-1.2438230390454663E-3</v>
      </c>
      <c r="G30" s="21">
        <f t="shared" si="2"/>
        <v>2.9069665254422006E-3</v>
      </c>
      <c r="H30" s="21">
        <f t="shared" si="3"/>
        <v>4.209748336426733E-3</v>
      </c>
    </row>
    <row r="31" spans="1:16" x14ac:dyDescent="0.25">
      <c r="A31" s="37">
        <v>45845.705555555556</v>
      </c>
      <c r="B31" s="9">
        <v>31.348814010620121</v>
      </c>
      <c r="C31" s="9">
        <v>52.546142578125</v>
      </c>
      <c r="D31" s="9">
        <v>81.730003356933594</v>
      </c>
      <c r="F31" s="21">
        <f t="shared" si="1"/>
        <v>-1.8679062694615389E-3</v>
      </c>
      <c r="G31" s="21">
        <f t="shared" si="2"/>
        <v>-1.4673892905718078E-2</v>
      </c>
      <c r="H31" s="21">
        <f t="shared" si="3"/>
        <v>-2.1080303651554999E-2</v>
      </c>
    </row>
    <row r="32" spans="1:16" x14ac:dyDescent="0.25">
      <c r="A32" s="37">
        <v>45846.705555555556</v>
      </c>
      <c r="B32" s="9">
        <v>31.79860877990723</v>
      </c>
      <c r="C32" s="9">
        <v>52.729701995849609</v>
      </c>
      <c r="D32" s="9">
        <v>81.150001525878906</v>
      </c>
      <c r="F32" s="21">
        <f t="shared" si="1"/>
        <v>1.43480633473001E-2</v>
      </c>
      <c r="G32" s="21">
        <f t="shared" si="2"/>
        <v>3.4932995785883492E-3</v>
      </c>
      <c r="H32" s="21">
        <f t="shared" si="3"/>
        <v>-7.0965594913986463E-3</v>
      </c>
    </row>
    <row r="33" spans="1:8" x14ac:dyDescent="0.25">
      <c r="A33" s="37">
        <v>45847.705555555556</v>
      </c>
      <c r="B33" s="9">
        <v>31.603044509887699</v>
      </c>
      <c r="C33" s="9">
        <v>52.2080078125</v>
      </c>
      <c r="D33" s="9">
        <v>78.209999084472656</v>
      </c>
      <c r="F33" s="21">
        <f t="shared" si="1"/>
        <v>-6.1500888725390945E-3</v>
      </c>
      <c r="G33" s="21">
        <f t="shared" si="2"/>
        <v>-9.8937442011463039E-3</v>
      </c>
      <c r="H33" s="21">
        <f t="shared" si="3"/>
        <v>-3.6229234579480241E-2</v>
      </c>
    </row>
    <row r="34" spans="1:8" x14ac:dyDescent="0.25">
      <c r="A34" s="37">
        <v>45848.705555555556</v>
      </c>
      <c r="B34" s="9">
        <v>31.524822235107418</v>
      </c>
      <c r="C34" s="9">
        <v>53.405967712402337</v>
      </c>
      <c r="D34" s="9">
        <v>75.319999694824219</v>
      </c>
      <c r="F34" s="21">
        <f t="shared" si="1"/>
        <v>-2.4751499734718685E-3</v>
      </c>
      <c r="G34" s="21">
        <f t="shared" si="2"/>
        <v>2.2945903322047823E-2</v>
      </c>
      <c r="H34" s="21">
        <f t="shared" si="3"/>
        <v>-3.6951789074016195E-2</v>
      </c>
    </row>
    <row r="35" spans="1:8" x14ac:dyDescent="0.25">
      <c r="A35" s="37">
        <v>45849.705555555556</v>
      </c>
      <c r="B35" s="9">
        <v>31.906169891357418</v>
      </c>
      <c r="C35" s="9">
        <v>54.1015625</v>
      </c>
      <c r="D35" s="9">
        <v>74.300003051757813</v>
      </c>
      <c r="F35" s="21">
        <f t="shared" si="1"/>
        <v>1.2096742478227673E-2</v>
      </c>
      <c r="G35" s="21">
        <f t="shared" si="2"/>
        <v>1.302466404772451E-2</v>
      </c>
      <c r="H35" s="21">
        <f t="shared" si="3"/>
        <v>-1.3542175347837859E-2</v>
      </c>
    </row>
    <row r="36" spans="1:8" x14ac:dyDescent="0.25">
      <c r="A36" s="37">
        <v>45852.705555555556</v>
      </c>
      <c r="B36" s="9">
        <v>31.485708236694339</v>
      </c>
      <c r="C36" s="9">
        <v>53.483257293701172</v>
      </c>
      <c r="D36" s="9">
        <v>73.639999389648438</v>
      </c>
      <c r="F36" s="21">
        <f t="shared" si="1"/>
        <v>-1.3178067317223485E-2</v>
      </c>
      <c r="G36" s="21">
        <f t="shared" si="2"/>
        <v>-1.1428601647111902E-2</v>
      </c>
      <c r="H36" s="21">
        <f t="shared" si="3"/>
        <v>-8.8829560565376608E-3</v>
      </c>
    </row>
    <row r="37" spans="1:8" x14ac:dyDescent="0.25">
      <c r="A37" s="37">
        <v>45853.705555555556</v>
      </c>
      <c r="B37" s="9">
        <v>31.241254806518551</v>
      </c>
      <c r="C37" s="9">
        <v>52.082412719726563</v>
      </c>
      <c r="D37" s="9">
        <v>74.05999755859375</v>
      </c>
      <c r="F37" s="21">
        <f t="shared" si="1"/>
        <v>-7.7639489109823101E-3</v>
      </c>
      <c r="G37" s="21">
        <f t="shared" si="2"/>
        <v>-2.6192207521728239E-2</v>
      </c>
      <c r="H37" s="21">
        <f t="shared" si="3"/>
        <v>5.7033972355566842E-3</v>
      </c>
    </row>
    <row r="38" spans="1:8" x14ac:dyDescent="0.25">
      <c r="A38" s="37">
        <v>45854.705555555556</v>
      </c>
      <c r="B38" s="9">
        <v>31.08480262756348</v>
      </c>
      <c r="C38" s="9">
        <v>52.555805206298828</v>
      </c>
      <c r="D38" s="9">
        <v>71.199996948242188</v>
      </c>
      <c r="F38" s="21">
        <f t="shared" si="1"/>
        <v>-5.0078711602334902E-3</v>
      </c>
      <c r="G38" s="21">
        <f t="shared" si="2"/>
        <v>9.0892964026023648E-3</v>
      </c>
      <c r="H38" s="21">
        <f t="shared" si="3"/>
        <v>-3.861734680842821E-2</v>
      </c>
    </row>
    <row r="39" spans="1:8" x14ac:dyDescent="0.25">
      <c r="A39" s="37">
        <v>45855.705555555556</v>
      </c>
      <c r="B39" s="9">
        <v>30.77190017700195</v>
      </c>
      <c r="C39" s="9">
        <v>52.459194183349609</v>
      </c>
      <c r="D39" s="9">
        <v>71.110000610351563</v>
      </c>
      <c r="F39" s="21">
        <f t="shared" si="1"/>
        <v>-1.0066090954815143E-2</v>
      </c>
      <c r="G39" s="21">
        <f t="shared" si="2"/>
        <v>-1.8382559751485283E-3</v>
      </c>
      <c r="H39" s="21">
        <f t="shared" si="3"/>
        <v>-1.2639935638767419E-3</v>
      </c>
    </row>
    <row r="40" spans="1:8" x14ac:dyDescent="0.25">
      <c r="A40" s="37">
        <v>45856.705555555556</v>
      </c>
      <c r="B40" s="9">
        <v>30.302549362182621</v>
      </c>
      <c r="C40" s="9">
        <v>52.710380554199219</v>
      </c>
      <c r="D40" s="9">
        <v>68.300003051757813</v>
      </c>
      <c r="F40" s="21">
        <f t="shared" si="1"/>
        <v>-1.5252578232725078E-2</v>
      </c>
      <c r="G40" s="21">
        <f t="shared" si="2"/>
        <v>4.7882239664545079E-3</v>
      </c>
      <c r="H40" s="21">
        <f t="shared" si="3"/>
        <v>-3.9516207769300649E-2</v>
      </c>
    </row>
    <row r="41" spans="1:8" x14ac:dyDescent="0.25">
      <c r="A41" s="37">
        <v>45859.705555555556</v>
      </c>
      <c r="B41" s="9">
        <v>30.3612174987793</v>
      </c>
      <c r="C41" s="9">
        <v>54.149868011474609</v>
      </c>
      <c r="D41" s="9">
        <v>68.120002746582031</v>
      </c>
      <c r="F41" s="21">
        <f t="shared" si="1"/>
        <v>1.936079235296928E-3</v>
      </c>
      <c r="G41" s="21">
        <f t="shared" si="2"/>
        <v>2.7309373260836933E-2</v>
      </c>
      <c r="H41" s="21">
        <f t="shared" si="3"/>
        <v>-2.6354362684197774E-3</v>
      </c>
    </row>
    <row r="42" spans="1:8" x14ac:dyDescent="0.25">
      <c r="A42" s="37">
        <v>45860.705555555556</v>
      </c>
      <c r="B42" s="9">
        <v>30.65456390380859</v>
      </c>
      <c r="C42" s="9">
        <v>55.550712585449219</v>
      </c>
      <c r="D42" s="9">
        <v>67.660003662109375</v>
      </c>
      <c r="F42" s="21">
        <f t="shared" si="1"/>
        <v>9.6618788439917225E-3</v>
      </c>
      <c r="G42" s="21">
        <f t="shared" si="2"/>
        <v>2.586976894713322E-2</v>
      </c>
      <c r="H42" s="21">
        <f t="shared" si="3"/>
        <v>-6.7527754833470732E-3</v>
      </c>
    </row>
    <row r="43" spans="1:8" x14ac:dyDescent="0.25">
      <c r="A43" s="37">
        <v>45861.705555555556</v>
      </c>
      <c r="B43" s="9">
        <v>31.280364990234379</v>
      </c>
      <c r="C43" s="9">
        <v>55.473423004150391</v>
      </c>
      <c r="D43" s="9">
        <v>68.459999084472656</v>
      </c>
      <c r="F43" s="21">
        <f t="shared" si="1"/>
        <v>2.04146139018484E-2</v>
      </c>
      <c r="G43" s="21">
        <f t="shared" si="2"/>
        <v>-1.3913337507586165E-3</v>
      </c>
      <c r="H43" s="21">
        <f t="shared" si="3"/>
        <v>1.1823756710957589E-2</v>
      </c>
    </row>
    <row r="44" spans="1:8" x14ac:dyDescent="0.25">
      <c r="A44" s="37">
        <v>45862.705555555556</v>
      </c>
      <c r="B44" s="9">
        <v>31.231475830078121</v>
      </c>
      <c r="C44" s="9">
        <v>54.613594055175781</v>
      </c>
      <c r="D44" s="9">
        <v>65.800003051757813</v>
      </c>
      <c r="F44" s="21">
        <f t="shared" si="1"/>
        <v>-1.5629344533389933E-3</v>
      </c>
      <c r="G44" s="21">
        <f t="shared" si="2"/>
        <v>-1.5499835820664609E-2</v>
      </c>
      <c r="H44" s="21">
        <f t="shared" si="3"/>
        <v>-3.8854748295171326E-2</v>
      </c>
    </row>
    <row r="45" spans="1:8" x14ac:dyDescent="0.25">
      <c r="A45" s="37">
        <v>45863.705555555556</v>
      </c>
      <c r="B45" s="9">
        <v>31.270587921142582</v>
      </c>
      <c r="C45" s="9">
        <v>53.811733245849609</v>
      </c>
      <c r="D45" s="9">
        <v>66.209999084472656</v>
      </c>
      <c r="F45" s="21">
        <f t="shared" si="1"/>
        <v>1.2523292615840287E-3</v>
      </c>
      <c r="G45" s="21">
        <f t="shared" si="2"/>
        <v>-1.4682439843018869E-2</v>
      </c>
      <c r="H45" s="21">
        <f t="shared" si="3"/>
        <v>6.2309424574393812E-3</v>
      </c>
    </row>
    <row r="46" spans="1:8" x14ac:dyDescent="0.25">
      <c r="A46" s="37">
        <v>45866.705555555556</v>
      </c>
      <c r="B46" s="9">
        <v>31.309700012207031</v>
      </c>
      <c r="C46" s="9">
        <v>53.2900390625</v>
      </c>
      <c r="D46" s="9">
        <v>66.25</v>
      </c>
      <c r="F46" s="21">
        <f t="shared" si="1"/>
        <v>1.2507628946114568E-3</v>
      </c>
      <c r="G46" s="21">
        <f t="shared" si="2"/>
        <v>-9.6948035657231646E-3</v>
      </c>
      <c r="H46" s="21">
        <f t="shared" si="3"/>
        <v>6.0415218366505208E-4</v>
      </c>
    </row>
    <row r="47" spans="1:8" x14ac:dyDescent="0.25">
      <c r="A47" s="37">
        <v>45867.705555555556</v>
      </c>
      <c r="B47" s="9">
        <v>31.720382690429691</v>
      </c>
      <c r="C47" s="9">
        <v>52.961563110351563</v>
      </c>
      <c r="D47" s="9">
        <v>68.739997863769531</v>
      </c>
      <c r="F47" s="21">
        <f t="shared" si="1"/>
        <v>1.3116787387376538E-2</v>
      </c>
      <c r="G47" s="21">
        <f t="shared" si="2"/>
        <v>-6.1639277795084713E-3</v>
      </c>
      <c r="H47" s="21">
        <f t="shared" si="3"/>
        <v>3.7584873415389186E-2</v>
      </c>
    </row>
    <row r="48" spans="1:8" x14ac:dyDescent="0.25">
      <c r="A48" s="37">
        <v>45868.705555555556</v>
      </c>
      <c r="B48" s="9">
        <v>32.043064117431641</v>
      </c>
      <c r="C48" s="9">
        <v>52.014785766601563</v>
      </c>
      <c r="D48" s="9">
        <v>76.25</v>
      </c>
      <c r="F48" s="21">
        <f t="shared" si="1"/>
        <v>1.017268392223114E-2</v>
      </c>
      <c r="G48" s="21">
        <f t="shared" si="2"/>
        <v>-1.7876688076167269E-2</v>
      </c>
      <c r="H48" s="21">
        <f t="shared" si="3"/>
        <v>0.10925228934562892</v>
      </c>
    </row>
    <row r="49" spans="1:8" x14ac:dyDescent="0.25">
      <c r="A49" s="37">
        <v>45869.705555555556</v>
      </c>
      <c r="B49" s="9">
        <v>31.915946960449219</v>
      </c>
      <c r="C49" s="9">
        <v>51.647670745849609</v>
      </c>
      <c r="D49" s="9">
        <v>80.660003662109375</v>
      </c>
      <c r="F49" s="21">
        <f t="shared" si="1"/>
        <v>-3.9670724533884538E-3</v>
      </c>
      <c r="G49" s="21">
        <f t="shared" si="2"/>
        <v>-7.0578973909314335E-3</v>
      </c>
      <c r="H49" s="21">
        <f t="shared" si="3"/>
        <v>5.783611360143448E-2</v>
      </c>
    </row>
    <row r="50" spans="1:8" x14ac:dyDescent="0.25">
      <c r="A50" s="37">
        <v>45870.705555555556</v>
      </c>
      <c r="B50" s="9">
        <v>31.495485305786129</v>
      </c>
      <c r="C50" s="9">
        <v>51.927837371826172</v>
      </c>
      <c r="D50" s="9">
        <v>79.050003051757813</v>
      </c>
      <c r="F50" s="21">
        <f t="shared" si="1"/>
        <v>-1.3174030373723E-2</v>
      </c>
      <c r="G50" s="21">
        <f t="shared" si="2"/>
        <v>5.4245742727725421E-3</v>
      </c>
      <c r="H50" s="21">
        <f t="shared" si="3"/>
        <v>-1.996033396050878E-2</v>
      </c>
    </row>
    <row r="51" spans="1:8" x14ac:dyDescent="0.25">
      <c r="A51" s="37">
        <v>45873.705555555556</v>
      </c>
      <c r="B51" s="9">
        <v>31.44659423828125</v>
      </c>
      <c r="C51" s="9">
        <v>52.34326171875</v>
      </c>
      <c r="D51" s="9">
        <v>80</v>
      </c>
      <c r="F51" s="21">
        <f t="shared" si="1"/>
        <v>-1.5523198652188652E-3</v>
      </c>
      <c r="G51" s="21">
        <f t="shared" si="2"/>
        <v>8.000031735371671E-3</v>
      </c>
      <c r="H51" s="21">
        <f t="shared" si="3"/>
        <v>1.2017671240571293E-2</v>
      </c>
    </row>
    <row r="52" spans="1:8" x14ac:dyDescent="0.25">
      <c r="A52" s="37">
        <v>45874.705555555556</v>
      </c>
      <c r="B52" s="9">
        <v>31.593269348144531</v>
      </c>
      <c r="C52" s="9">
        <v>52.275634765625</v>
      </c>
      <c r="D52" s="9">
        <v>78.620002746582031</v>
      </c>
      <c r="F52" s="21">
        <f t="shared" si="1"/>
        <v>4.6642605794406933E-3</v>
      </c>
      <c r="G52" s="21">
        <f t="shared" si="2"/>
        <v>-1.2919896640827266E-3</v>
      </c>
      <c r="H52" s="21">
        <f t="shared" si="3"/>
        <v>-1.7249965667724632E-2</v>
      </c>
    </row>
    <row r="53" spans="1:8" x14ac:dyDescent="0.25">
      <c r="A53" s="37">
        <v>45875.705555555556</v>
      </c>
      <c r="B53" s="9">
        <v>31.632377624511719</v>
      </c>
      <c r="C53" s="9">
        <v>51.947162628173828</v>
      </c>
      <c r="D53" s="9">
        <v>77.879997253417969</v>
      </c>
      <c r="F53" s="21">
        <f t="shared" si="1"/>
        <v>1.2378673424466857E-3</v>
      </c>
      <c r="G53" s="21">
        <f t="shared" si="2"/>
        <v>-6.2834653069993029E-3</v>
      </c>
      <c r="H53" s="21">
        <f t="shared" si="3"/>
        <v>-9.4124328073269536E-3</v>
      </c>
    </row>
    <row r="54" spans="1:8" x14ac:dyDescent="0.25">
      <c r="A54" s="37">
        <v>45876.705555555556</v>
      </c>
      <c r="B54" s="9">
        <v>31.80838584899902</v>
      </c>
      <c r="C54" s="9">
        <v>52.323940277099609</v>
      </c>
      <c r="D54" s="9">
        <v>78.400001525878906</v>
      </c>
      <c r="F54" s="21">
        <f t="shared" si="1"/>
        <v>5.5641794169438707E-3</v>
      </c>
      <c r="G54" s="21">
        <f t="shared" si="2"/>
        <v>7.2530939104926695E-3</v>
      </c>
      <c r="H54" s="21">
        <f t="shared" si="3"/>
        <v>6.6769939753448249E-3</v>
      </c>
    </row>
    <row r="55" spans="1:8" x14ac:dyDescent="0.25">
      <c r="A55" s="37">
        <v>45877.705555555556</v>
      </c>
      <c r="B55" s="9">
        <v>29.852754592895511</v>
      </c>
      <c r="C55" s="9">
        <v>53.512241363525391</v>
      </c>
      <c r="D55" s="9">
        <v>79.120002746582031</v>
      </c>
      <c r="F55" s="21">
        <f t="shared" si="1"/>
        <v>-6.148162517228295E-2</v>
      </c>
      <c r="G55" s="21">
        <f t="shared" si="2"/>
        <v>2.2710466377966254E-2</v>
      </c>
      <c r="H55" s="21">
        <f t="shared" si="3"/>
        <v>9.1836888608409772E-3</v>
      </c>
    </row>
    <row r="56" spans="1:8" x14ac:dyDescent="0.25">
      <c r="A56" s="37">
        <v>45880.705555555556</v>
      </c>
      <c r="B56" s="9">
        <v>30.03853797912598</v>
      </c>
      <c r="C56" s="9">
        <v>53.454277038574219</v>
      </c>
      <c r="D56" s="9">
        <v>78.489997863769531</v>
      </c>
      <c r="F56" s="21">
        <f t="shared" si="1"/>
        <v>6.2233247405143466E-3</v>
      </c>
      <c r="G56" s="21">
        <f t="shared" si="2"/>
        <v>-1.0831974791973842E-3</v>
      </c>
      <c r="H56" s="21">
        <f t="shared" si="3"/>
        <v>-7.9626499107992021E-3</v>
      </c>
    </row>
    <row r="57" spans="1:8" x14ac:dyDescent="0.25">
      <c r="A57" s="37">
        <v>45881.705555555556</v>
      </c>
      <c r="B57" s="9">
        <v>30.116762161254879</v>
      </c>
      <c r="C57" s="9">
        <v>54.014614105224609</v>
      </c>
      <c r="D57" s="9">
        <v>79.25</v>
      </c>
      <c r="F57" s="21">
        <f t="shared" si="1"/>
        <v>2.6041274772845568E-3</v>
      </c>
      <c r="G57" s="21">
        <f t="shared" si="2"/>
        <v>1.0482548781756584E-2</v>
      </c>
      <c r="H57" s="21">
        <f t="shared" si="3"/>
        <v>9.6827896154305648E-3</v>
      </c>
    </row>
    <row r="58" spans="1:8" x14ac:dyDescent="0.25">
      <c r="A58" s="37">
        <v>45882.705555555556</v>
      </c>
      <c r="B58" s="9">
        <v>29.891864776611332</v>
      </c>
      <c r="C58" s="9">
        <v>54.090000152587891</v>
      </c>
      <c r="D58" s="9">
        <v>79.209999084472656</v>
      </c>
      <c r="F58" s="21">
        <f t="shared" si="1"/>
        <v>-7.4675153802846728E-3</v>
      </c>
      <c r="G58" s="21">
        <f t="shared" si="2"/>
        <v>1.3956602044109534E-3</v>
      </c>
      <c r="H58" s="21">
        <f t="shared" si="3"/>
        <v>-5.0474341359418862E-4</v>
      </c>
    </row>
    <row r="59" spans="1:8" x14ac:dyDescent="0.25">
      <c r="A59" s="37">
        <v>45883.705555555556</v>
      </c>
      <c r="B59" s="9">
        <v>29.510517120361332</v>
      </c>
      <c r="C59" s="9">
        <v>53.419998168945313</v>
      </c>
      <c r="D59" s="9">
        <v>80.69000244140625</v>
      </c>
      <c r="F59" s="21">
        <f t="shared" si="1"/>
        <v>-1.2757573309657877E-2</v>
      </c>
      <c r="G59" s="21">
        <f t="shared" si="2"/>
        <v>-1.2386799440793128E-2</v>
      </c>
      <c r="H59" s="21">
        <f t="shared" si="3"/>
        <v>1.8684552127759213E-2</v>
      </c>
    </row>
    <row r="60" spans="1:8" x14ac:dyDescent="0.25">
      <c r="A60" s="37">
        <v>45884.705555555556</v>
      </c>
      <c r="B60" s="9">
        <v>29.500738143920898</v>
      </c>
      <c r="C60" s="9">
        <v>53.319999694824219</v>
      </c>
      <c r="D60" s="9">
        <v>77.290000915527344</v>
      </c>
      <c r="F60" s="21">
        <f t="shared" si="1"/>
        <v>-3.3137258830640004E-4</v>
      </c>
      <c r="G60" s="21">
        <f t="shared" si="2"/>
        <v>-1.8719295684893611E-3</v>
      </c>
      <c r="H60" s="21">
        <f t="shared" si="3"/>
        <v>-4.2136589701404992E-2</v>
      </c>
    </row>
    <row r="61" spans="1:8" x14ac:dyDescent="0.25">
      <c r="A61" s="37">
        <v>45887.705555555556</v>
      </c>
      <c r="B61" s="9">
        <v>29.686525344848629</v>
      </c>
      <c r="C61" s="9">
        <v>53.200000762939453</v>
      </c>
      <c r="D61" s="9">
        <v>78.410003662109375</v>
      </c>
      <c r="F61" s="21">
        <f t="shared" si="1"/>
        <v>6.2977136375828024E-3</v>
      </c>
      <c r="G61" s="21">
        <f t="shared" si="2"/>
        <v>-2.2505426213723645E-3</v>
      </c>
      <c r="H61" s="21">
        <f t="shared" si="3"/>
        <v>1.4490913873919098E-2</v>
      </c>
    </row>
    <row r="62" spans="1:8" x14ac:dyDescent="0.25">
      <c r="A62" s="37">
        <v>45888.705555555556</v>
      </c>
      <c r="B62" s="9">
        <v>29.373622894287109</v>
      </c>
      <c r="C62" s="9">
        <v>53.240001678466797</v>
      </c>
      <c r="D62" s="9">
        <v>77</v>
      </c>
      <c r="F62" s="21">
        <f t="shared" si="1"/>
        <v>-1.0540218059430617E-2</v>
      </c>
      <c r="G62" s="21">
        <f t="shared" si="2"/>
        <v>7.5189689762589218E-4</v>
      </c>
      <c r="H62" s="21">
        <f t="shared" si="3"/>
        <v>-1.7982446068813829E-2</v>
      </c>
    </row>
    <row r="63" spans="1:8" x14ac:dyDescent="0.25">
      <c r="A63" s="37">
        <v>45889.705555555556</v>
      </c>
      <c r="B63" s="9">
        <v>29.549629211425781</v>
      </c>
      <c r="C63" s="9">
        <v>53</v>
      </c>
      <c r="D63" s="9">
        <v>76.099998474121094</v>
      </c>
      <c r="F63" s="21">
        <f t="shared" si="1"/>
        <v>5.9919853186685135E-3</v>
      </c>
      <c r="G63" s="21">
        <f t="shared" si="2"/>
        <v>-4.507920189714576E-3</v>
      </c>
      <c r="H63" s="21">
        <f t="shared" si="3"/>
        <v>-1.1688331504920879E-2</v>
      </c>
    </row>
    <row r="64" spans="1:8" x14ac:dyDescent="0.25">
      <c r="A64" s="37">
        <v>45890.705555555556</v>
      </c>
      <c r="B64" s="9">
        <v>29.61807823181152</v>
      </c>
      <c r="C64" s="9">
        <v>53.450000762939453</v>
      </c>
      <c r="D64" s="9">
        <v>76.980003356933594</v>
      </c>
      <c r="F64" s="21">
        <f t="shared" si="1"/>
        <v>2.3164087744043105E-3</v>
      </c>
      <c r="G64" s="21">
        <f t="shared" si="2"/>
        <v>8.4905804328199164E-3</v>
      </c>
      <c r="H64" s="21">
        <f t="shared" si="3"/>
        <v>1.1563796326641951E-2</v>
      </c>
    </row>
    <row r="65" spans="1:8" x14ac:dyDescent="0.25">
      <c r="A65" s="37">
        <v>45891.705555555556</v>
      </c>
      <c r="B65" s="9">
        <v>30.469999313354489</v>
      </c>
      <c r="C65" s="9">
        <v>54.790000915527337</v>
      </c>
      <c r="D65" s="9">
        <v>77.599998474121094</v>
      </c>
      <c r="F65" s="21">
        <f t="shared" si="1"/>
        <v>2.8763550250466841E-2</v>
      </c>
      <c r="G65" s="21">
        <f t="shared" si="2"/>
        <v>2.5070161524057388E-2</v>
      </c>
      <c r="H65" s="21">
        <f t="shared" si="3"/>
        <v>8.0539762295510631E-3</v>
      </c>
    </row>
    <row r="66" spans="1:8" x14ac:dyDescent="0.25">
      <c r="A66" s="37">
        <v>45894.705555555556</v>
      </c>
      <c r="B66" s="9">
        <v>30.64999961853027</v>
      </c>
      <c r="C66" s="9">
        <v>54.919998168945313</v>
      </c>
      <c r="D66" s="9">
        <v>75.730003356933594</v>
      </c>
      <c r="F66" s="21">
        <f t="shared" si="1"/>
        <v>5.9074600995114857E-3</v>
      </c>
      <c r="G66" s="21">
        <f t="shared" si="2"/>
        <v>2.3726455784951472E-3</v>
      </c>
      <c r="H66" s="21">
        <f t="shared" si="3"/>
        <v>-2.4097875695334281E-2</v>
      </c>
    </row>
    <row r="67" spans="1:8" x14ac:dyDescent="0.25">
      <c r="A67" s="37">
        <v>45895.705555555556</v>
      </c>
      <c r="B67" s="9">
        <v>30.430000305175781</v>
      </c>
      <c r="C67" s="9">
        <v>55.409999847412109</v>
      </c>
      <c r="D67" s="9">
        <v>76.480003356933594</v>
      </c>
      <c r="F67" s="21">
        <f t="shared" si="1"/>
        <v>-7.1777917159085991E-3</v>
      </c>
      <c r="G67" s="21">
        <f t="shared" si="2"/>
        <v>8.9220993227174805E-3</v>
      </c>
      <c r="H67" s="21">
        <f t="shared" si="3"/>
        <v>9.9036044731843909E-3</v>
      </c>
    </row>
    <row r="68" spans="1:8" x14ac:dyDescent="0.25">
      <c r="A68" s="37">
        <v>45896.705555555556</v>
      </c>
      <c r="B68" s="9">
        <v>30.659999847412109</v>
      </c>
      <c r="C68" s="9">
        <v>55.380001068115227</v>
      </c>
      <c r="D68" s="9">
        <v>75.599998474121094</v>
      </c>
      <c r="F68" s="21">
        <f t="shared" ref="F68:F85" si="6">B68/B67-1</f>
        <v>7.558315475836741E-3</v>
      </c>
      <c r="G68" s="21">
        <f t="shared" ref="G68:G85" si="7">C68/C67-1</f>
        <v>-5.4139648762840942E-4</v>
      </c>
      <c r="H68" s="21">
        <f t="shared" ref="H68:H85" si="8">D68/D67-1</f>
        <v>-1.1506339489885997E-2</v>
      </c>
    </row>
    <row r="69" spans="1:8" x14ac:dyDescent="0.25">
      <c r="A69" s="37">
        <v>45897.705555555556</v>
      </c>
      <c r="B69" s="9">
        <v>30.930000305175781</v>
      </c>
      <c r="C69" s="9">
        <v>55.400001525878913</v>
      </c>
      <c r="D69" s="9">
        <v>76.209999084472656</v>
      </c>
      <c r="F69" s="21">
        <f t="shared" si="6"/>
        <v>8.8062772050685467E-3</v>
      </c>
      <c r="G69" s="21">
        <f t="shared" si="7"/>
        <v>3.6114946511256463E-4</v>
      </c>
      <c r="H69" s="21">
        <f t="shared" si="8"/>
        <v>8.0687913050736526E-3</v>
      </c>
    </row>
    <row r="70" spans="1:8" x14ac:dyDescent="0.25">
      <c r="A70" s="37">
        <v>45898.705555555556</v>
      </c>
      <c r="B70" s="9">
        <v>31.10000038146973</v>
      </c>
      <c r="C70" s="9">
        <v>55.560001373291023</v>
      </c>
      <c r="D70" s="9">
        <v>76.199996948242188</v>
      </c>
      <c r="F70" s="21">
        <f t="shared" si="6"/>
        <v>5.4962843393668859E-3</v>
      </c>
      <c r="G70" s="21">
        <f t="shared" si="7"/>
        <v>2.8880838087588234E-3</v>
      </c>
      <c r="H70" s="21">
        <f t="shared" si="8"/>
        <v>-1.3124440822231964E-4</v>
      </c>
    </row>
    <row r="71" spans="1:8" x14ac:dyDescent="0.25">
      <c r="A71" s="37">
        <v>45901.705555555556</v>
      </c>
      <c r="B71" s="9">
        <v>31.170000076293949</v>
      </c>
      <c r="C71" s="9">
        <v>55.599998474121087</v>
      </c>
      <c r="D71" s="9">
        <v>76.540000915527344</v>
      </c>
      <c r="F71" s="21">
        <f t="shared" si="6"/>
        <v>2.2507940181868413E-3</v>
      </c>
      <c r="G71" s="21">
        <f t="shared" si="7"/>
        <v>7.19890205929552E-4</v>
      </c>
      <c r="H71" s="21">
        <f t="shared" si="8"/>
        <v>4.4619945000272665E-3</v>
      </c>
    </row>
    <row r="72" spans="1:8" x14ac:dyDescent="0.25">
      <c r="A72" s="37">
        <v>45902.705555555556</v>
      </c>
      <c r="B72" s="9">
        <v>31.329999923706051</v>
      </c>
      <c r="C72" s="9">
        <v>55.389999389648438</v>
      </c>
      <c r="D72" s="9">
        <v>78.199996948242188</v>
      </c>
      <c r="F72" s="21">
        <f t="shared" si="6"/>
        <v>5.1331359326427517E-3</v>
      </c>
      <c r="G72" s="21">
        <f t="shared" si="7"/>
        <v>-3.7769620546013183E-3</v>
      </c>
      <c r="H72" s="21">
        <f t="shared" si="8"/>
        <v>2.1687954178977398E-2</v>
      </c>
    </row>
    <row r="73" spans="1:8" x14ac:dyDescent="0.25">
      <c r="A73" s="37">
        <v>45903.705555555556</v>
      </c>
      <c r="B73" s="9">
        <v>31.059999465942379</v>
      </c>
      <c r="C73" s="9">
        <v>55.599998474121087</v>
      </c>
      <c r="D73" s="9">
        <v>77.519996643066406</v>
      </c>
      <c r="F73" s="21">
        <f t="shared" si="6"/>
        <v>-8.6179527105384457E-3</v>
      </c>
      <c r="G73" s="21">
        <f t="shared" si="7"/>
        <v>3.7912815812721767E-3</v>
      </c>
      <c r="H73" s="21">
        <f t="shared" si="8"/>
        <v>-8.6956564157649741E-3</v>
      </c>
    </row>
    <row r="74" spans="1:8" x14ac:dyDescent="0.25">
      <c r="A74" s="37">
        <v>45904.705555555556</v>
      </c>
      <c r="B74" s="9">
        <v>31.059999465942379</v>
      </c>
      <c r="C74" s="9">
        <v>55.709999084472663</v>
      </c>
      <c r="D74" s="9">
        <v>79.610000610351563</v>
      </c>
      <c r="F74" s="21">
        <f t="shared" si="6"/>
        <v>0</v>
      </c>
      <c r="G74" s="21">
        <f t="shared" si="7"/>
        <v>1.9784282980290779E-3</v>
      </c>
      <c r="H74" s="21">
        <f t="shared" si="8"/>
        <v>2.6960836658809217E-2</v>
      </c>
    </row>
    <row r="75" spans="1:8" x14ac:dyDescent="0.25">
      <c r="A75" s="37">
        <v>45905.705555555556</v>
      </c>
      <c r="B75" s="9">
        <v>30.590000152587891</v>
      </c>
      <c r="C75" s="9">
        <v>56.220001220703118</v>
      </c>
      <c r="D75" s="9">
        <v>82.040000915527344</v>
      </c>
      <c r="F75" s="21">
        <f t="shared" si="6"/>
        <v>-1.513198072877775E-2</v>
      </c>
      <c r="G75" s="21">
        <f t="shared" si="7"/>
        <v>9.1545888460191627E-3</v>
      </c>
      <c r="H75" s="21">
        <f t="shared" si="8"/>
        <v>3.0523807141634496E-2</v>
      </c>
    </row>
    <row r="76" spans="1:8" x14ac:dyDescent="0.25">
      <c r="A76" s="37">
        <v>45908.705555555556</v>
      </c>
      <c r="B76" s="9">
        <v>30.70999908447266</v>
      </c>
      <c r="C76" s="9">
        <v>56.360000610351563</v>
      </c>
      <c r="D76" s="9">
        <v>80.980003356933594</v>
      </c>
      <c r="F76" s="21">
        <f t="shared" si="6"/>
        <v>3.9228156680677362E-3</v>
      </c>
      <c r="G76" s="21">
        <f t="shared" si="7"/>
        <v>2.4902060940705795E-3</v>
      </c>
      <c r="H76" s="21">
        <f t="shared" si="8"/>
        <v>-1.2920496669486581E-2</v>
      </c>
    </row>
    <row r="77" spans="1:8" x14ac:dyDescent="0.25">
      <c r="A77" s="37">
        <v>45909.705555555556</v>
      </c>
      <c r="B77" s="9">
        <v>30.95000076293945</v>
      </c>
      <c r="C77" s="9">
        <v>56.189998626708977</v>
      </c>
      <c r="D77" s="9">
        <v>81.489997863769531</v>
      </c>
      <c r="F77" s="21">
        <f t="shared" si="6"/>
        <v>7.8150988479885886E-3</v>
      </c>
      <c r="G77" s="21">
        <f t="shared" si="7"/>
        <v>-3.0163587970465366E-3</v>
      </c>
      <c r="H77" s="21">
        <f t="shared" si="8"/>
        <v>6.2977832266570832E-3</v>
      </c>
    </row>
    <row r="78" spans="1:8" x14ac:dyDescent="0.25">
      <c r="A78" s="37">
        <v>45910.705555555556</v>
      </c>
      <c r="B78" s="9">
        <v>31.510000228881839</v>
      </c>
      <c r="C78" s="9">
        <v>56.580001831054688</v>
      </c>
      <c r="D78" s="9">
        <v>80.19000244140625</v>
      </c>
      <c r="F78" s="21">
        <f t="shared" si="6"/>
        <v>1.8093681813828866E-2</v>
      </c>
      <c r="G78" s="21">
        <f t="shared" si="7"/>
        <v>6.9407939825136822E-3</v>
      </c>
      <c r="H78" s="21">
        <f t="shared" si="8"/>
        <v>-1.5952821897682989E-2</v>
      </c>
    </row>
    <row r="79" spans="1:8" x14ac:dyDescent="0.25">
      <c r="A79" s="37">
        <v>45911.705555555556</v>
      </c>
      <c r="B79" s="9">
        <v>31.389999389648441</v>
      </c>
      <c r="C79" s="9">
        <v>57.020000457763672</v>
      </c>
      <c r="D79" s="9">
        <v>79.300003051757813</v>
      </c>
      <c r="F79" s="21">
        <f t="shared" si="6"/>
        <v>-3.808341426903783E-3</v>
      </c>
      <c r="G79" s="21">
        <f t="shared" si="7"/>
        <v>7.7765749817895191E-3</v>
      </c>
      <c r="H79" s="21">
        <f t="shared" si="8"/>
        <v>-1.1098632779051876E-2</v>
      </c>
    </row>
    <row r="80" spans="1:8" x14ac:dyDescent="0.25">
      <c r="A80" s="37">
        <v>45912.705555555556</v>
      </c>
      <c r="B80" s="9">
        <v>31.180000305175781</v>
      </c>
      <c r="C80" s="9">
        <v>57</v>
      </c>
      <c r="D80" s="9">
        <v>76.720001220703125</v>
      </c>
      <c r="F80" s="21">
        <f t="shared" si="6"/>
        <v>-6.6899996354224944E-3</v>
      </c>
      <c r="G80" s="21">
        <f t="shared" si="7"/>
        <v>-3.5076214666973637E-4</v>
      </c>
      <c r="H80" s="21">
        <f t="shared" si="8"/>
        <v>-3.2534700274485018E-2</v>
      </c>
    </row>
    <row r="81" spans="1:8" x14ac:dyDescent="0.25">
      <c r="A81" s="37">
        <v>45915.705555555556</v>
      </c>
      <c r="B81" s="9">
        <v>31.45000076293945</v>
      </c>
      <c r="C81" s="9">
        <v>57.5</v>
      </c>
      <c r="D81" s="9">
        <v>75.879997253417969</v>
      </c>
      <c r="F81" s="21">
        <f t="shared" si="6"/>
        <v>8.6594116459597359E-3</v>
      </c>
      <c r="G81" s="21">
        <f t="shared" si="7"/>
        <v>8.7719298245614308E-3</v>
      </c>
      <c r="H81" s="21">
        <f t="shared" si="8"/>
        <v>-1.0948956646503305E-2</v>
      </c>
    </row>
    <row r="82" spans="1:8" x14ac:dyDescent="0.25">
      <c r="A82" s="37">
        <v>45916.705555555556</v>
      </c>
      <c r="B82" s="9">
        <v>31.530000686645511</v>
      </c>
      <c r="C82" s="9">
        <v>57.700000762939453</v>
      </c>
      <c r="D82" s="9">
        <v>75.849998474121094</v>
      </c>
      <c r="F82" s="21">
        <f t="shared" si="6"/>
        <v>2.5437177031910618E-3</v>
      </c>
      <c r="G82" s="21">
        <f t="shared" si="7"/>
        <v>3.4782741380774418E-3</v>
      </c>
      <c r="H82" s="21">
        <f t="shared" si="8"/>
        <v>-3.9534502349392042E-4</v>
      </c>
    </row>
    <row r="83" spans="1:8" x14ac:dyDescent="0.25">
      <c r="A83" s="37">
        <v>45917.705555555556</v>
      </c>
      <c r="B83" s="9">
        <v>31.719999313354489</v>
      </c>
      <c r="C83" s="9">
        <v>57.799999237060547</v>
      </c>
      <c r="D83" s="9">
        <v>75.389999389648438</v>
      </c>
      <c r="F83" s="21">
        <f t="shared" si="6"/>
        <v>6.0259632911918715E-3</v>
      </c>
      <c r="G83" s="21">
        <f t="shared" si="7"/>
        <v>1.7330757850755329E-3</v>
      </c>
      <c r="H83" s="21">
        <f t="shared" si="8"/>
        <v>-6.0645892383188738E-3</v>
      </c>
    </row>
    <row r="84" spans="1:8" x14ac:dyDescent="0.25">
      <c r="A84" s="37">
        <v>45918.705555555556</v>
      </c>
      <c r="B84" s="9">
        <v>31.409999847412109</v>
      </c>
      <c r="C84" s="9">
        <v>57.689998626708977</v>
      </c>
      <c r="D84" s="9">
        <v>76.160003662109375</v>
      </c>
      <c r="F84" s="21">
        <f t="shared" si="6"/>
        <v>-9.772997246310311E-3</v>
      </c>
      <c r="G84" s="21">
        <f t="shared" si="7"/>
        <v>-1.9031247716875255E-3</v>
      </c>
      <c r="H84" s="21">
        <f t="shared" si="8"/>
        <v>1.0213612928701821E-2</v>
      </c>
    </row>
    <row r="85" spans="1:8" x14ac:dyDescent="0.25">
      <c r="A85" s="37">
        <v>45919.705555555556</v>
      </c>
      <c r="B85" s="9">
        <v>31.059999465942379</v>
      </c>
      <c r="C85" s="9">
        <v>57.919998168945313</v>
      </c>
      <c r="D85" s="9">
        <v>76.75</v>
      </c>
      <c r="F85" s="21">
        <f t="shared" si="6"/>
        <v>-1.1142960304680427E-2</v>
      </c>
      <c r="G85" s="21">
        <f t="shared" si="7"/>
        <v>3.9868182997295776E-3</v>
      </c>
      <c r="H85" s="21">
        <f t="shared" si="8"/>
        <v>7.7468002825760163E-3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B239-A10D-4482-B436-7B78DB76CFB0}">
  <dimension ref="A1:F18"/>
  <sheetViews>
    <sheetView zoomScale="120" zoomScaleNormal="120" workbookViewId="0">
      <selection activeCell="D15" sqref="D15"/>
    </sheetView>
  </sheetViews>
  <sheetFormatPr defaultRowHeight="15.75" x14ac:dyDescent="0.25"/>
  <cols>
    <col min="1" max="1" width="59.25" bestFit="1" customWidth="1"/>
    <col min="2" max="2" width="11.75" bestFit="1" customWidth="1"/>
    <col min="4" max="4" width="35.875" bestFit="1" customWidth="1"/>
    <col min="5" max="5" width="12.75" bestFit="1" customWidth="1"/>
  </cols>
  <sheetData>
    <row r="1" spans="1:6" x14ac:dyDescent="0.25">
      <c r="A1" s="55" t="s">
        <v>76</v>
      </c>
      <c r="D1" s="146" t="s">
        <v>85</v>
      </c>
      <c r="E1" s="147"/>
    </row>
    <row r="2" spans="1:6" x14ac:dyDescent="0.25">
      <c r="A2" t="s">
        <v>77</v>
      </c>
      <c r="B2" s="50">
        <v>1000</v>
      </c>
      <c r="D2" s="56" t="s">
        <v>86</v>
      </c>
      <c r="E2" s="57">
        <f>B3/B2</f>
        <v>3.2000000000000001E-2</v>
      </c>
      <c r="F2" s="19" t="str">
        <f t="shared" ref="F2:F7" ca="1" si="0">_xlfn.FORMULATEXT(E2)</f>
        <v>=B3/B2</v>
      </c>
    </row>
    <row r="3" spans="1:6" x14ac:dyDescent="0.25">
      <c r="A3" t="s">
        <v>78</v>
      </c>
      <c r="B3">
        <v>32</v>
      </c>
      <c r="D3" s="56" t="s">
        <v>87</v>
      </c>
      <c r="E3" s="57">
        <f>B5/B4</f>
        <v>0.91942148760330578</v>
      </c>
      <c r="F3" s="19" t="str">
        <f t="shared" ca="1" si="0"/>
        <v>=B5/B4</v>
      </c>
    </row>
    <row r="4" spans="1:6" x14ac:dyDescent="0.25">
      <c r="A4" t="s">
        <v>79</v>
      </c>
      <c r="B4" s="51">
        <f>B2-B3</f>
        <v>968</v>
      </c>
      <c r="C4" s="19" t="str">
        <f ca="1">_xlfn.FORMULATEXT(B4)</f>
        <v>=B2-B3</v>
      </c>
      <c r="D4" s="56" t="s">
        <v>88</v>
      </c>
      <c r="E4" s="57">
        <f>B6/B5</f>
        <v>0.5617977528089888</v>
      </c>
      <c r="F4" s="19" t="str">
        <f t="shared" ca="1" si="0"/>
        <v>=B6/B5</v>
      </c>
    </row>
    <row r="5" spans="1:6" x14ac:dyDescent="0.25">
      <c r="A5" t="s">
        <v>90</v>
      </c>
      <c r="B5">
        <v>890</v>
      </c>
      <c r="D5" s="56" t="s">
        <v>89</v>
      </c>
      <c r="E5" s="58">
        <f>B8/B5</f>
        <v>2.2471910112359552</v>
      </c>
      <c r="F5" s="19" t="str">
        <f t="shared" ca="1" si="0"/>
        <v>=B8/B5</v>
      </c>
    </row>
    <row r="6" spans="1:6" x14ac:dyDescent="0.25">
      <c r="A6" t="s">
        <v>80</v>
      </c>
      <c r="B6" s="51">
        <v>500</v>
      </c>
      <c r="D6" s="56" t="s">
        <v>91</v>
      </c>
      <c r="E6" s="59">
        <f>B5/B6</f>
        <v>1.78</v>
      </c>
      <c r="F6" s="19" t="str">
        <f t="shared" ca="1" si="0"/>
        <v>=B5/B6</v>
      </c>
    </row>
    <row r="7" spans="1:6" ht="16.5" thickBot="1" x14ac:dyDescent="0.3">
      <c r="A7" t="s">
        <v>81</v>
      </c>
      <c r="B7" s="2">
        <v>20</v>
      </c>
      <c r="D7" s="60" t="s">
        <v>92</v>
      </c>
      <c r="E7" s="61">
        <f>B8/B6</f>
        <v>4</v>
      </c>
      <c r="F7" s="19" t="str">
        <f t="shared" ca="1" si="0"/>
        <v>=B8/B6</v>
      </c>
    </row>
    <row r="8" spans="1:6" ht="16.5" thickBot="1" x14ac:dyDescent="0.3">
      <c r="A8" t="s">
        <v>82</v>
      </c>
      <c r="B8" s="2">
        <v>2000</v>
      </c>
    </row>
    <row r="9" spans="1:6" x14ac:dyDescent="0.25">
      <c r="A9" t="s">
        <v>83</v>
      </c>
      <c r="B9" s="4">
        <v>0.25</v>
      </c>
      <c r="D9" s="148" t="s">
        <v>186</v>
      </c>
      <c r="E9" s="149"/>
    </row>
    <row r="10" spans="1:6" x14ac:dyDescent="0.25">
      <c r="A10" t="s">
        <v>84</v>
      </c>
      <c r="B10" s="4">
        <v>0.2</v>
      </c>
      <c r="D10" s="137" t="s">
        <v>146</v>
      </c>
      <c r="E10" s="138">
        <f>B6*B7</f>
        <v>10000</v>
      </c>
      <c r="F10" s="19" t="str">
        <f ca="1">_xlfn.FORMULATEXT(E10)</f>
        <v>=B6*B7</v>
      </c>
    </row>
    <row r="11" spans="1:6" x14ac:dyDescent="0.25">
      <c r="A11" t="s">
        <v>187</v>
      </c>
      <c r="B11" s="20">
        <f>1-B9</f>
        <v>0.75</v>
      </c>
      <c r="C11" s="19" t="str">
        <f ca="1">_xlfn.FORMULATEXT(B11)</f>
        <v>=1-B9</v>
      </c>
      <c r="D11" s="139" t="s">
        <v>188</v>
      </c>
      <c r="E11" s="140">
        <f>E10*B11</f>
        <v>7500</v>
      </c>
      <c r="F11" s="19" t="str">
        <f ca="1">_xlfn.FORMULATEXT(E11)</f>
        <v>=E10*B11</v>
      </c>
    </row>
    <row r="12" spans="1:6" x14ac:dyDescent="0.25">
      <c r="D12" s="137" t="s">
        <v>148</v>
      </c>
      <c r="E12" s="138">
        <f>B9*E10</f>
        <v>2500</v>
      </c>
      <c r="F12" s="19" t="str">
        <f ca="1">_xlfn.FORMULATEXT(E12)</f>
        <v>=B9*E10</v>
      </c>
    </row>
    <row r="13" spans="1:6" x14ac:dyDescent="0.25">
      <c r="D13" s="139" t="s">
        <v>189</v>
      </c>
      <c r="E13" s="140">
        <f>B8</f>
        <v>2000</v>
      </c>
    </row>
    <row r="14" spans="1:6" x14ac:dyDescent="0.25">
      <c r="D14" s="137" t="s">
        <v>190</v>
      </c>
      <c r="E14" s="141">
        <f>E12-E13</f>
        <v>500</v>
      </c>
    </row>
    <row r="15" spans="1:6" x14ac:dyDescent="0.25">
      <c r="D15" s="139" t="s">
        <v>191</v>
      </c>
      <c r="E15" s="141">
        <f>E14*B10</f>
        <v>100</v>
      </c>
    </row>
    <row r="16" spans="1:6" ht="16.5" thickBot="1" x14ac:dyDescent="0.3">
      <c r="D16" s="142" t="s">
        <v>192</v>
      </c>
      <c r="E16" s="143">
        <f>E14-E15</f>
        <v>400</v>
      </c>
    </row>
    <row r="17" spans="4:5" ht="16.5" thickBot="1" x14ac:dyDescent="0.3"/>
    <row r="18" spans="4:5" ht="16.5" thickBot="1" x14ac:dyDescent="0.3">
      <c r="D18" s="135" t="s">
        <v>193</v>
      </c>
      <c r="E18" s="136">
        <f>E16/B8</f>
        <v>0.2</v>
      </c>
    </row>
  </sheetData>
  <mergeCells count="2">
    <mergeCell ref="D1:E1"/>
    <mergeCell ref="D9:E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B7D3-2F47-A244-B8C2-84586DCB9557}">
  <dimension ref="A1:G53"/>
  <sheetViews>
    <sheetView topLeftCell="A38" zoomScale="130" zoomScaleNormal="130" workbookViewId="0">
      <selection activeCell="G43" sqref="G43:G53"/>
    </sheetView>
  </sheetViews>
  <sheetFormatPr defaultColWidth="11" defaultRowHeight="15.75" x14ac:dyDescent="0.25"/>
  <cols>
    <col min="1" max="1" width="11.625" bestFit="1" customWidth="1"/>
    <col min="2" max="2" width="14.125" bestFit="1" customWidth="1"/>
    <col min="3" max="3" width="15.125" bestFit="1" customWidth="1"/>
    <col min="4" max="4" width="16.625" bestFit="1" customWidth="1"/>
    <col min="5" max="5" width="15.875" bestFit="1" customWidth="1"/>
    <col min="6" max="6" width="20.5" bestFit="1" customWidth="1"/>
    <col min="7" max="7" width="28.625" bestFit="1" customWidth="1"/>
  </cols>
  <sheetData>
    <row r="1" spans="1:7" x14ac:dyDescent="0.25">
      <c r="A1" s="1" t="s">
        <v>0</v>
      </c>
      <c r="B1" s="1" t="s">
        <v>4</v>
      </c>
      <c r="C1" s="1" t="s">
        <v>95</v>
      </c>
      <c r="D1" s="1" t="s">
        <v>5</v>
      </c>
      <c r="E1" s="1" t="s">
        <v>6</v>
      </c>
      <c r="F1" s="1" t="s">
        <v>93</v>
      </c>
      <c r="G1" s="1" t="s">
        <v>94</v>
      </c>
    </row>
    <row r="2" spans="1:7" x14ac:dyDescent="0.25">
      <c r="A2" s="1" t="s">
        <v>1</v>
      </c>
      <c r="B2" s="2">
        <v>10000</v>
      </c>
      <c r="C2" s="4">
        <v>0.02</v>
      </c>
      <c r="D2" s="4">
        <f>1-C2</f>
        <v>0.98</v>
      </c>
      <c r="E2" s="3">
        <v>0</v>
      </c>
      <c r="F2" s="5">
        <f>B2*(1-E2)</f>
        <v>10000</v>
      </c>
      <c r="G2" s="5">
        <f>F2*C2</f>
        <v>200</v>
      </c>
    </row>
    <row r="3" spans="1:7" x14ac:dyDescent="0.25">
      <c r="A3" s="1" t="s">
        <v>2</v>
      </c>
      <c r="B3" s="2">
        <v>20000</v>
      </c>
      <c r="C3" s="4">
        <v>0.05</v>
      </c>
      <c r="D3" s="4">
        <f t="shared" ref="D3:D4" si="0">1-C3</f>
        <v>0.95</v>
      </c>
      <c r="E3" s="3">
        <v>0</v>
      </c>
      <c r="F3" s="5">
        <f t="shared" ref="F3:F4" si="1">B3*(1-E3)</f>
        <v>20000</v>
      </c>
      <c r="G3" s="5">
        <f t="shared" ref="G3:G4" si="2">F3*C3</f>
        <v>1000</v>
      </c>
    </row>
    <row r="4" spans="1:7" x14ac:dyDescent="0.25">
      <c r="A4" s="1" t="s">
        <v>3</v>
      </c>
      <c r="B4" s="2">
        <v>70000</v>
      </c>
      <c r="C4" s="4">
        <v>0.1</v>
      </c>
      <c r="D4" s="4">
        <f t="shared" si="0"/>
        <v>0.9</v>
      </c>
      <c r="E4" s="3">
        <v>0</v>
      </c>
      <c r="F4" s="5">
        <f t="shared" si="1"/>
        <v>70000</v>
      </c>
      <c r="G4" s="5">
        <f t="shared" si="2"/>
        <v>7000</v>
      </c>
    </row>
    <row r="5" spans="1:7" x14ac:dyDescent="0.25">
      <c r="A5" s="1"/>
      <c r="F5" s="35" t="s">
        <v>96</v>
      </c>
      <c r="G5" s="63">
        <f>SUM(G2:G4)</f>
        <v>8200</v>
      </c>
    </row>
    <row r="6" spans="1:7" x14ac:dyDescent="0.25">
      <c r="B6" t="s">
        <v>98</v>
      </c>
      <c r="G6" s="64" t="s">
        <v>97</v>
      </c>
    </row>
    <row r="7" spans="1:7" x14ac:dyDescent="0.25">
      <c r="B7" s="150" t="s">
        <v>99</v>
      </c>
      <c r="C7" s="150"/>
      <c r="D7" s="150"/>
      <c r="E7" s="150"/>
      <c r="F7" s="150"/>
    </row>
    <row r="8" spans="1:7" x14ac:dyDescent="0.25">
      <c r="B8" t="s">
        <v>100</v>
      </c>
      <c r="C8" s="1" t="s">
        <v>101</v>
      </c>
      <c r="D8" s="1" t="s">
        <v>102</v>
      </c>
      <c r="E8" s="1" t="s">
        <v>103</v>
      </c>
      <c r="F8" s="1" t="s">
        <v>104</v>
      </c>
    </row>
    <row r="9" spans="1:7" x14ac:dyDescent="0.25">
      <c r="B9" s="1">
        <v>0</v>
      </c>
      <c r="C9" s="2">
        <v>0</v>
      </c>
      <c r="D9" s="2">
        <v>0</v>
      </c>
      <c r="E9" s="2">
        <v>0</v>
      </c>
      <c r="F9" s="2">
        <f>SUM(C9:E9)</f>
        <v>0</v>
      </c>
    </row>
    <row r="10" spans="1:7" x14ac:dyDescent="0.25">
      <c r="B10" s="1">
        <v>1</v>
      </c>
      <c r="C10" s="2">
        <f>F2</f>
        <v>10000</v>
      </c>
      <c r="D10" s="2">
        <v>0</v>
      </c>
      <c r="E10" s="2">
        <v>0</v>
      </c>
      <c r="F10" s="2">
        <f t="shared" ref="F10:F16" si="3">SUM(C10:E10)</f>
        <v>10000</v>
      </c>
    </row>
    <row r="11" spans="1:7" x14ac:dyDescent="0.25">
      <c r="B11" s="1">
        <v>1</v>
      </c>
      <c r="C11" s="2">
        <v>0</v>
      </c>
      <c r="D11" s="2">
        <f>F3</f>
        <v>20000</v>
      </c>
      <c r="E11" s="2">
        <v>0</v>
      </c>
      <c r="F11" s="2">
        <f t="shared" si="3"/>
        <v>20000</v>
      </c>
    </row>
    <row r="12" spans="1:7" x14ac:dyDescent="0.25">
      <c r="B12" s="1">
        <v>1</v>
      </c>
      <c r="C12" s="2">
        <v>0</v>
      </c>
      <c r="D12" s="2">
        <v>0</v>
      </c>
      <c r="E12" s="2">
        <f>F4</f>
        <v>70000</v>
      </c>
      <c r="F12" s="2">
        <f t="shared" si="3"/>
        <v>70000</v>
      </c>
    </row>
    <row r="13" spans="1:7" x14ac:dyDescent="0.25">
      <c r="B13" s="1">
        <v>2</v>
      </c>
      <c r="C13" s="2">
        <f>C10</f>
        <v>10000</v>
      </c>
      <c r="D13" s="2">
        <f>D11</f>
        <v>20000</v>
      </c>
      <c r="E13" s="2">
        <v>0</v>
      </c>
      <c r="F13" s="2">
        <f t="shared" si="3"/>
        <v>30000</v>
      </c>
    </row>
    <row r="14" spans="1:7" x14ac:dyDescent="0.25">
      <c r="B14" s="1">
        <v>2</v>
      </c>
      <c r="C14" s="2">
        <f>C13</f>
        <v>10000</v>
      </c>
      <c r="D14" s="2">
        <v>0</v>
      </c>
      <c r="E14" s="2">
        <f>E12</f>
        <v>70000</v>
      </c>
      <c r="F14" s="2">
        <f t="shared" si="3"/>
        <v>80000</v>
      </c>
    </row>
    <row r="15" spans="1:7" x14ac:dyDescent="0.25">
      <c r="B15" s="1">
        <v>2</v>
      </c>
      <c r="C15" s="2">
        <f>0</f>
        <v>0</v>
      </c>
      <c r="D15" s="2">
        <f>D13</f>
        <v>20000</v>
      </c>
      <c r="E15" s="2">
        <f>E14</f>
        <v>70000</v>
      </c>
      <c r="F15" s="2">
        <f t="shared" si="3"/>
        <v>90000</v>
      </c>
    </row>
    <row r="16" spans="1:7" x14ac:dyDescent="0.25">
      <c r="B16" s="1">
        <v>3</v>
      </c>
      <c r="C16" s="2">
        <f>C14</f>
        <v>10000</v>
      </c>
      <c r="D16" s="2">
        <f>D15</f>
        <v>20000</v>
      </c>
      <c r="E16" s="2">
        <f>E15</f>
        <v>70000</v>
      </c>
      <c r="F16" s="2">
        <f t="shared" si="3"/>
        <v>100000</v>
      </c>
    </row>
    <row r="18" spans="2:6" x14ac:dyDescent="0.25">
      <c r="B18" s="151" t="s">
        <v>105</v>
      </c>
      <c r="C18" s="151"/>
      <c r="D18" s="151"/>
      <c r="E18" s="151"/>
      <c r="F18" s="151"/>
    </row>
    <row r="19" spans="2:6" x14ac:dyDescent="0.25">
      <c r="B19" t="s">
        <v>100</v>
      </c>
      <c r="C19" s="1" t="s">
        <v>106</v>
      </c>
      <c r="D19" s="1" t="s">
        <v>107</v>
      </c>
      <c r="E19" s="1" t="s">
        <v>108</v>
      </c>
      <c r="F19" s="1" t="s">
        <v>109</v>
      </c>
    </row>
    <row r="20" spans="2:6" x14ac:dyDescent="0.25">
      <c r="B20" s="1">
        <v>0</v>
      </c>
      <c r="C20" s="7">
        <f>D2</f>
        <v>0.98</v>
      </c>
      <c r="D20" s="7">
        <f>D3</f>
        <v>0.95</v>
      </c>
      <c r="E20" s="7">
        <f>D4</f>
        <v>0.9</v>
      </c>
      <c r="F20" s="7">
        <f>C20*D20*E20</f>
        <v>0.83789999999999998</v>
      </c>
    </row>
    <row r="21" spans="2:6" x14ac:dyDescent="0.25">
      <c r="B21" s="1">
        <v>1</v>
      </c>
      <c r="C21" s="7">
        <f>C2</f>
        <v>0.02</v>
      </c>
      <c r="D21" s="7">
        <f>D20</f>
        <v>0.95</v>
      </c>
      <c r="E21" s="7">
        <f>E20</f>
        <v>0.9</v>
      </c>
      <c r="F21" s="7">
        <f t="shared" ref="F21:F27" si="4">C21*D21*E21</f>
        <v>1.7100000000000001E-2</v>
      </c>
    </row>
    <row r="22" spans="2:6" x14ac:dyDescent="0.25">
      <c r="B22" s="1">
        <v>1</v>
      </c>
      <c r="C22" s="7">
        <f>C20</f>
        <v>0.98</v>
      </c>
      <c r="D22" s="7">
        <f>C3</f>
        <v>0.05</v>
      </c>
      <c r="E22" s="7">
        <f>E21</f>
        <v>0.9</v>
      </c>
      <c r="F22" s="7">
        <f t="shared" si="4"/>
        <v>4.41E-2</v>
      </c>
    </row>
    <row r="23" spans="2:6" x14ac:dyDescent="0.25">
      <c r="B23" s="1">
        <v>1</v>
      </c>
      <c r="C23" s="7">
        <f>C22</f>
        <v>0.98</v>
      </c>
      <c r="D23" s="7">
        <f>D21</f>
        <v>0.95</v>
      </c>
      <c r="E23" s="7">
        <f>C4</f>
        <v>0.1</v>
      </c>
      <c r="F23" s="7">
        <f t="shared" si="4"/>
        <v>9.3100000000000002E-2</v>
      </c>
    </row>
    <row r="24" spans="2:6" x14ac:dyDescent="0.25">
      <c r="B24" s="1">
        <v>2</v>
      </c>
      <c r="C24" s="7">
        <f>C21</f>
        <v>0.02</v>
      </c>
      <c r="D24" s="7">
        <f>D22</f>
        <v>0.05</v>
      </c>
      <c r="E24" s="7">
        <f>E20</f>
        <v>0.9</v>
      </c>
      <c r="F24" s="7">
        <f t="shared" si="4"/>
        <v>9.0000000000000008E-4</v>
      </c>
    </row>
    <row r="25" spans="2:6" x14ac:dyDescent="0.25">
      <c r="B25" s="1">
        <v>2</v>
      </c>
      <c r="C25" s="7">
        <f>C24</f>
        <v>0.02</v>
      </c>
      <c r="D25" s="7">
        <f>D23</f>
        <v>0.95</v>
      </c>
      <c r="E25" s="7">
        <f>E23</f>
        <v>0.1</v>
      </c>
      <c r="F25" s="7">
        <f t="shared" si="4"/>
        <v>1.9E-3</v>
      </c>
    </row>
    <row r="26" spans="2:6" x14ac:dyDescent="0.25">
      <c r="B26" s="1">
        <v>2</v>
      </c>
      <c r="C26" s="7">
        <f>C23</f>
        <v>0.98</v>
      </c>
      <c r="D26" s="7">
        <f>D24</f>
        <v>0.05</v>
      </c>
      <c r="E26" s="7">
        <f>E25</f>
        <v>0.1</v>
      </c>
      <c r="F26" s="7">
        <f t="shared" si="4"/>
        <v>4.9000000000000007E-3</v>
      </c>
    </row>
    <row r="27" spans="2:6" x14ac:dyDescent="0.25">
      <c r="B27" s="1">
        <v>3</v>
      </c>
      <c r="C27" s="7">
        <f>C25</f>
        <v>0.02</v>
      </c>
      <c r="D27" s="7">
        <f>D24</f>
        <v>0.05</v>
      </c>
      <c r="E27" s="7">
        <f>E26</f>
        <v>0.1</v>
      </c>
      <c r="F27" s="7">
        <f t="shared" si="4"/>
        <v>1E-4</v>
      </c>
    </row>
    <row r="28" spans="2:6" x14ac:dyDescent="0.25">
      <c r="E28" s="66" t="s">
        <v>96</v>
      </c>
      <c r="F28" s="67">
        <f>SUM(F20:F27)</f>
        <v>1</v>
      </c>
    </row>
    <row r="30" spans="2:6" x14ac:dyDescent="0.25">
      <c r="C30" s="6" t="s">
        <v>104</v>
      </c>
      <c r="D30" s="68" t="s">
        <v>109</v>
      </c>
      <c r="E30" t="s">
        <v>110</v>
      </c>
    </row>
    <row r="31" spans="2:6" x14ac:dyDescent="0.25">
      <c r="C31" s="2">
        <v>0</v>
      </c>
      <c r="D31" s="7">
        <v>0.83789999999999998</v>
      </c>
      <c r="E31" s="5">
        <f>C31*D31</f>
        <v>0</v>
      </c>
    </row>
    <row r="32" spans="2:6" x14ac:dyDescent="0.25">
      <c r="C32" s="2">
        <v>10000</v>
      </c>
      <c r="D32" s="7">
        <v>1.7100000000000001E-2</v>
      </c>
      <c r="E32" s="5">
        <f t="shared" ref="E32:E38" si="5">C32*D32</f>
        <v>171</v>
      </c>
    </row>
    <row r="33" spans="3:7" x14ac:dyDescent="0.25">
      <c r="C33" s="2">
        <v>20000</v>
      </c>
      <c r="D33" s="7">
        <v>4.41E-2</v>
      </c>
      <c r="E33" s="5">
        <f t="shared" si="5"/>
        <v>882</v>
      </c>
    </row>
    <row r="34" spans="3:7" x14ac:dyDescent="0.25">
      <c r="C34" s="2">
        <v>70000</v>
      </c>
      <c r="D34" s="7">
        <v>9.3100000000000002E-2</v>
      </c>
      <c r="E34" s="5">
        <f t="shared" si="5"/>
        <v>6517</v>
      </c>
    </row>
    <row r="35" spans="3:7" x14ac:dyDescent="0.25">
      <c r="C35" s="2">
        <v>30000</v>
      </c>
      <c r="D35" s="7">
        <v>9.0000000000000008E-4</v>
      </c>
      <c r="E35" s="5">
        <f t="shared" si="5"/>
        <v>27.000000000000004</v>
      </c>
    </row>
    <row r="36" spans="3:7" x14ac:dyDescent="0.25">
      <c r="C36" s="2">
        <v>80000</v>
      </c>
      <c r="D36" s="7">
        <v>1.9E-3</v>
      </c>
      <c r="E36" s="5">
        <f t="shared" si="5"/>
        <v>152</v>
      </c>
    </row>
    <row r="37" spans="3:7" x14ac:dyDescent="0.25">
      <c r="C37" s="2">
        <v>90000</v>
      </c>
      <c r="D37" s="7">
        <v>4.9000000000000007E-3</v>
      </c>
      <c r="E37" s="5">
        <f t="shared" si="5"/>
        <v>441.00000000000006</v>
      </c>
    </row>
    <row r="38" spans="3:7" x14ac:dyDescent="0.25">
      <c r="C38" s="2">
        <v>100000</v>
      </c>
      <c r="D38" s="7">
        <v>1E-4</v>
      </c>
      <c r="E38" s="5">
        <f t="shared" si="5"/>
        <v>10</v>
      </c>
    </row>
    <row r="39" spans="3:7" x14ac:dyDescent="0.25">
      <c r="D39" s="69" t="s">
        <v>96</v>
      </c>
      <c r="E39" s="70">
        <f>SUM(E31:E38)</f>
        <v>8200</v>
      </c>
    </row>
    <row r="40" spans="3:7" x14ac:dyDescent="0.25">
      <c r="D40" t="s">
        <v>111</v>
      </c>
    </row>
    <row r="42" spans="3:7" x14ac:dyDescent="0.25">
      <c r="C42" s="6" t="s">
        <v>104</v>
      </c>
      <c r="D42" s="68" t="s">
        <v>109</v>
      </c>
      <c r="E42" t="s">
        <v>112</v>
      </c>
    </row>
    <row r="43" spans="3:7" x14ac:dyDescent="0.25">
      <c r="C43" s="2">
        <v>0</v>
      </c>
      <c r="D43" s="7">
        <v>0.83789999999999998</v>
      </c>
      <c r="E43" s="4">
        <f>D43</f>
        <v>0.83789999999999998</v>
      </c>
      <c r="G43" s="1" t="s">
        <v>116</v>
      </c>
    </row>
    <row r="44" spans="3:7" x14ac:dyDescent="0.25">
      <c r="C44" s="2">
        <v>10000</v>
      </c>
      <c r="D44" s="7">
        <v>1.7100000000000001E-2</v>
      </c>
      <c r="E44" s="4">
        <f>E43+D44</f>
        <v>0.85499999999999998</v>
      </c>
      <c r="G44" s="3">
        <v>0.99</v>
      </c>
    </row>
    <row r="45" spans="3:7" x14ac:dyDescent="0.25">
      <c r="C45" s="2">
        <v>20000</v>
      </c>
      <c r="D45" s="7">
        <v>4.41E-2</v>
      </c>
      <c r="E45" s="4">
        <f t="shared" ref="E45:E50" si="6">E44+D45</f>
        <v>0.89910000000000001</v>
      </c>
    </row>
    <row r="46" spans="3:7" x14ac:dyDescent="0.25">
      <c r="C46" s="2">
        <v>30000</v>
      </c>
      <c r="D46" s="7">
        <v>9.0000000000000008E-4</v>
      </c>
      <c r="E46" s="4">
        <f t="shared" si="6"/>
        <v>0.9</v>
      </c>
      <c r="G46" s="1" t="s">
        <v>114</v>
      </c>
    </row>
    <row r="47" spans="3:7" x14ac:dyDescent="0.25">
      <c r="C47" s="71">
        <v>70000</v>
      </c>
      <c r="D47" s="72">
        <v>9.3100000000000002E-2</v>
      </c>
      <c r="E47" s="73">
        <f t="shared" si="6"/>
        <v>0.99309999999999998</v>
      </c>
      <c r="G47" s="62">
        <f>C47</f>
        <v>70000</v>
      </c>
    </row>
    <row r="48" spans="3:7" x14ac:dyDescent="0.25">
      <c r="C48" s="2">
        <v>80000</v>
      </c>
      <c r="D48" s="7">
        <v>1.9E-3</v>
      </c>
      <c r="E48" s="4">
        <f t="shared" si="6"/>
        <v>0.995</v>
      </c>
    </row>
    <row r="49" spans="3:7" x14ac:dyDescent="0.25">
      <c r="C49" s="2">
        <v>90000</v>
      </c>
      <c r="D49" s="7">
        <v>4.9000000000000007E-3</v>
      </c>
      <c r="E49" s="4">
        <f t="shared" si="6"/>
        <v>0.99990000000000001</v>
      </c>
      <c r="G49" s="1" t="s">
        <v>111</v>
      </c>
    </row>
    <row r="50" spans="3:7" x14ac:dyDescent="0.25">
      <c r="C50" s="2">
        <v>100000</v>
      </c>
      <c r="D50" s="7">
        <v>1E-4</v>
      </c>
      <c r="E50" s="4">
        <f t="shared" si="6"/>
        <v>1</v>
      </c>
      <c r="G50" s="62">
        <f>E39</f>
        <v>8200</v>
      </c>
    </row>
    <row r="52" spans="3:7" x14ac:dyDescent="0.25">
      <c r="G52" s="1" t="s">
        <v>115</v>
      </c>
    </row>
    <row r="53" spans="3:7" x14ac:dyDescent="0.25">
      <c r="G53" s="62">
        <f>G47-G50</f>
        <v>61800</v>
      </c>
    </row>
  </sheetData>
  <sortState xmlns:xlrd2="http://schemas.microsoft.com/office/spreadsheetml/2017/richdata2" ref="C43:E50">
    <sortCondition ref="C43:C50"/>
  </sortState>
  <mergeCells count="2">
    <mergeCell ref="B7:F7"/>
    <mergeCell ref="B18:F18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90E6-FE88-4141-9E5F-1245CBB8AB19}">
  <dimension ref="A1:G70"/>
  <sheetViews>
    <sheetView topLeftCell="A62" zoomScale="150" zoomScaleNormal="150" workbookViewId="0">
      <selection activeCell="C73" sqref="C73"/>
    </sheetView>
  </sheetViews>
  <sheetFormatPr defaultColWidth="11" defaultRowHeight="15.75" x14ac:dyDescent="0.25"/>
  <cols>
    <col min="1" max="1" width="16" bestFit="1" customWidth="1"/>
    <col min="2" max="2" width="13.875" bestFit="1" customWidth="1"/>
    <col min="3" max="3" width="15.25" bestFit="1" customWidth="1"/>
    <col min="4" max="4" width="13.875" bestFit="1" customWidth="1"/>
    <col min="6" max="6" width="22.25" bestFit="1" customWidth="1"/>
    <col min="7" max="8" width="12" bestFit="1" customWidth="1"/>
  </cols>
  <sheetData>
    <row r="1" spans="1:7" x14ac:dyDescent="0.25">
      <c r="A1" s="8" t="s">
        <v>7</v>
      </c>
    </row>
    <row r="2" spans="1:7" x14ac:dyDescent="0.25">
      <c r="A2" s="10" t="s">
        <v>8</v>
      </c>
      <c r="B2" s="10" t="s">
        <v>9</v>
      </c>
      <c r="C2" t="s">
        <v>125</v>
      </c>
      <c r="E2" s="12" t="s">
        <v>10</v>
      </c>
      <c r="F2" s="6" t="s">
        <v>9</v>
      </c>
      <c r="G2" t="s">
        <v>126</v>
      </c>
    </row>
    <row r="3" spans="1:7" x14ac:dyDescent="0.25">
      <c r="A3" s="10">
        <v>0</v>
      </c>
      <c r="B3" s="11">
        <v>0.7</v>
      </c>
      <c r="C3" s="78">
        <f>A3*B3</f>
        <v>0</v>
      </c>
      <c r="E3" s="13">
        <v>500</v>
      </c>
      <c r="F3" s="14">
        <v>0.6</v>
      </c>
      <c r="G3" s="53">
        <f>E3*F3</f>
        <v>300</v>
      </c>
    </row>
    <row r="4" spans="1:7" x14ac:dyDescent="0.25">
      <c r="A4" s="10">
        <v>1</v>
      </c>
      <c r="B4" s="11">
        <v>0.2</v>
      </c>
      <c r="C4" s="78">
        <f t="shared" ref="C4:C5" si="0">A4*B4</f>
        <v>0.2</v>
      </c>
      <c r="E4" s="13">
        <v>10000</v>
      </c>
      <c r="F4" s="14">
        <v>0.3</v>
      </c>
      <c r="G4" s="53">
        <f t="shared" ref="G4:G5" si="1">E4*F4</f>
        <v>3000</v>
      </c>
    </row>
    <row r="5" spans="1:7" x14ac:dyDescent="0.25">
      <c r="A5" s="10">
        <v>2</v>
      </c>
      <c r="B5" s="11">
        <v>0.1</v>
      </c>
      <c r="C5" s="78">
        <f t="shared" si="0"/>
        <v>0.2</v>
      </c>
      <c r="E5" s="13">
        <v>50000</v>
      </c>
      <c r="F5" s="14">
        <v>0.1</v>
      </c>
      <c r="G5" s="53">
        <f t="shared" si="1"/>
        <v>5000</v>
      </c>
    </row>
    <row r="6" spans="1:7" x14ac:dyDescent="0.25">
      <c r="B6" s="79" t="s">
        <v>96</v>
      </c>
      <c r="C6" s="80">
        <f>SUM(C3:C5)</f>
        <v>0.4</v>
      </c>
      <c r="D6" s="154" t="s">
        <v>127</v>
      </c>
      <c r="E6" s="154"/>
      <c r="F6" s="81" t="s">
        <v>96</v>
      </c>
      <c r="G6" s="81">
        <f>SUM(G3:G5)</f>
        <v>8300</v>
      </c>
    </row>
    <row r="7" spans="1:7" x14ac:dyDescent="0.25">
      <c r="A7" s="152" t="s">
        <v>117</v>
      </c>
      <c r="B7" s="152"/>
      <c r="C7" s="152"/>
      <c r="D7" s="152"/>
    </row>
    <row r="8" spans="1:7" x14ac:dyDescent="0.25">
      <c r="A8" s="1" t="s">
        <v>100</v>
      </c>
      <c r="B8" s="74" t="s">
        <v>118</v>
      </c>
      <c r="C8" s="74" t="s">
        <v>119</v>
      </c>
      <c r="D8" s="74" t="s">
        <v>120</v>
      </c>
      <c r="F8" s="82" t="s">
        <v>111</v>
      </c>
      <c r="G8" s="70">
        <f>C6*G6</f>
        <v>3320</v>
      </c>
    </row>
    <row r="9" spans="1:7" x14ac:dyDescent="0.25">
      <c r="A9" s="1">
        <v>0</v>
      </c>
      <c r="B9" s="74">
        <v>0</v>
      </c>
      <c r="C9" s="74">
        <v>0</v>
      </c>
      <c r="D9" s="74">
        <f>B9+C9</f>
        <v>0</v>
      </c>
    </row>
    <row r="10" spans="1:7" x14ac:dyDescent="0.25">
      <c r="A10" s="1">
        <v>1</v>
      </c>
      <c r="B10" s="74">
        <f>E3</f>
        <v>500</v>
      </c>
      <c r="C10" s="74">
        <v>0</v>
      </c>
      <c r="D10" s="74">
        <f t="shared" ref="D10:D21" si="2">B10+C10</f>
        <v>500</v>
      </c>
    </row>
    <row r="11" spans="1:7" x14ac:dyDescent="0.25">
      <c r="A11" s="1">
        <v>1</v>
      </c>
      <c r="B11" s="74">
        <f>E4</f>
        <v>10000</v>
      </c>
      <c r="C11" s="74">
        <v>0</v>
      </c>
      <c r="D11" s="74">
        <f t="shared" si="2"/>
        <v>10000</v>
      </c>
    </row>
    <row r="12" spans="1:7" x14ac:dyDescent="0.25">
      <c r="A12" s="1">
        <v>1</v>
      </c>
      <c r="B12" s="74">
        <f>E5</f>
        <v>50000</v>
      </c>
      <c r="C12" s="74">
        <v>0</v>
      </c>
      <c r="D12" s="74">
        <f t="shared" si="2"/>
        <v>50000</v>
      </c>
    </row>
    <row r="13" spans="1:7" x14ac:dyDescent="0.25">
      <c r="A13" s="1">
        <v>2</v>
      </c>
      <c r="B13" s="74">
        <f>E3</f>
        <v>500</v>
      </c>
      <c r="C13" s="74">
        <f>E3</f>
        <v>500</v>
      </c>
      <c r="D13" s="74">
        <f t="shared" si="2"/>
        <v>1000</v>
      </c>
    </row>
    <row r="14" spans="1:7" x14ac:dyDescent="0.25">
      <c r="A14" s="1">
        <v>2</v>
      </c>
      <c r="B14" s="74">
        <f>B13</f>
        <v>500</v>
      </c>
      <c r="C14" s="74">
        <f>E4</f>
        <v>10000</v>
      </c>
      <c r="D14" s="74">
        <f t="shared" si="2"/>
        <v>10500</v>
      </c>
    </row>
    <row r="15" spans="1:7" x14ac:dyDescent="0.25">
      <c r="A15" s="1">
        <v>2</v>
      </c>
      <c r="B15" s="74">
        <f>E3</f>
        <v>500</v>
      </c>
      <c r="C15" s="74">
        <f>E5</f>
        <v>50000</v>
      </c>
      <c r="D15" s="74">
        <f t="shared" si="2"/>
        <v>50500</v>
      </c>
    </row>
    <row r="16" spans="1:7" x14ac:dyDescent="0.25">
      <c r="A16" s="1">
        <v>2</v>
      </c>
      <c r="B16" s="74">
        <f>C14</f>
        <v>10000</v>
      </c>
      <c r="C16" s="74">
        <f>C13</f>
        <v>500</v>
      </c>
      <c r="D16" s="74">
        <f t="shared" si="2"/>
        <v>10500</v>
      </c>
    </row>
    <row r="17" spans="1:4" x14ac:dyDescent="0.25">
      <c r="A17" s="1">
        <v>2</v>
      </c>
      <c r="B17" s="74">
        <f>C14</f>
        <v>10000</v>
      </c>
      <c r="C17" s="74">
        <f>C14</f>
        <v>10000</v>
      </c>
      <c r="D17" s="74">
        <f t="shared" si="2"/>
        <v>20000</v>
      </c>
    </row>
    <row r="18" spans="1:4" x14ac:dyDescent="0.25">
      <c r="A18" s="1">
        <v>2</v>
      </c>
      <c r="B18" s="74">
        <f>C14</f>
        <v>10000</v>
      </c>
      <c r="C18" s="74">
        <f>C15</f>
        <v>50000</v>
      </c>
      <c r="D18" s="74">
        <f t="shared" si="2"/>
        <v>60000</v>
      </c>
    </row>
    <row r="19" spans="1:4" x14ac:dyDescent="0.25">
      <c r="A19" s="1">
        <v>2</v>
      </c>
      <c r="B19" s="74">
        <f>D12</f>
        <v>50000</v>
      </c>
      <c r="C19" s="74">
        <f>C13</f>
        <v>500</v>
      </c>
      <c r="D19" s="74">
        <f t="shared" si="2"/>
        <v>50500</v>
      </c>
    </row>
    <row r="20" spans="1:4" x14ac:dyDescent="0.25">
      <c r="A20" s="1">
        <v>2</v>
      </c>
      <c r="B20" s="5">
        <f>B19</f>
        <v>50000</v>
      </c>
      <c r="C20" s="5">
        <f>C14</f>
        <v>10000</v>
      </c>
      <c r="D20" s="74">
        <f t="shared" si="2"/>
        <v>60000</v>
      </c>
    </row>
    <row r="21" spans="1:4" x14ac:dyDescent="0.25">
      <c r="A21" s="1">
        <v>2</v>
      </c>
      <c r="B21" s="5">
        <f>B19</f>
        <v>50000</v>
      </c>
      <c r="C21" s="5">
        <f>C15</f>
        <v>50000</v>
      </c>
      <c r="D21" s="74">
        <f t="shared" si="2"/>
        <v>100000</v>
      </c>
    </row>
    <row r="23" spans="1:4" x14ac:dyDescent="0.25">
      <c r="A23" s="151" t="s">
        <v>121</v>
      </c>
      <c r="B23" s="151"/>
      <c r="C23" s="151"/>
      <c r="D23" s="151"/>
    </row>
    <row r="24" spans="1:4" x14ac:dyDescent="0.25">
      <c r="A24" s="1" t="s">
        <v>100</v>
      </c>
      <c r="B24" s="74" t="s">
        <v>118</v>
      </c>
      <c r="C24" s="74" t="s">
        <v>119</v>
      </c>
      <c r="D24" s="74" t="s">
        <v>123</v>
      </c>
    </row>
    <row r="25" spans="1:4" x14ac:dyDescent="0.25">
      <c r="A25" s="3">
        <f>B3</f>
        <v>0.7</v>
      </c>
      <c r="B25" s="65" t="s">
        <v>122</v>
      </c>
      <c r="C25" s="65" t="s">
        <v>122</v>
      </c>
      <c r="D25" s="7">
        <f>A25</f>
        <v>0.7</v>
      </c>
    </row>
    <row r="26" spans="1:4" x14ac:dyDescent="0.25">
      <c r="A26" s="3">
        <f>B4</f>
        <v>0.2</v>
      </c>
      <c r="B26" s="65">
        <f>F3</f>
        <v>0.6</v>
      </c>
      <c r="C26" s="65" t="s">
        <v>122</v>
      </c>
      <c r="D26" s="7">
        <f>A26*B26</f>
        <v>0.12</v>
      </c>
    </row>
    <row r="27" spans="1:4" x14ac:dyDescent="0.25">
      <c r="A27" s="3">
        <f>A26</f>
        <v>0.2</v>
      </c>
      <c r="B27" s="65">
        <f>F4</f>
        <v>0.3</v>
      </c>
      <c r="C27" s="65" t="s">
        <v>122</v>
      </c>
      <c r="D27" s="7">
        <f t="shared" ref="D27:D28" si="3">A27*B27</f>
        <v>0.06</v>
      </c>
    </row>
    <row r="28" spans="1:4" x14ac:dyDescent="0.25">
      <c r="A28" s="3">
        <f>A27</f>
        <v>0.2</v>
      </c>
      <c r="B28" s="65">
        <f>F5</f>
        <v>0.1</v>
      </c>
      <c r="C28" s="65" t="s">
        <v>122</v>
      </c>
      <c r="D28" s="7">
        <f t="shared" si="3"/>
        <v>2.0000000000000004E-2</v>
      </c>
    </row>
    <row r="29" spans="1:4" x14ac:dyDescent="0.25">
      <c r="A29" s="3">
        <f>B5</f>
        <v>0.1</v>
      </c>
      <c r="B29" s="65">
        <f>B26</f>
        <v>0.6</v>
      </c>
      <c r="C29" s="65">
        <f>B26</f>
        <v>0.6</v>
      </c>
      <c r="D29" s="7">
        <f>A29*B29*C29</f>
        <v>3.5999999999999997E-2</v>
      </c>
    </row>
    <row r="30" spans="1:4" x14ac:dyDescent="0.25">
      <c r="A30" s="3">
        <f>A29</f>
        <v>0.1</v>
      </c>
      <c r="B30" s="65">
        <f>B26</f>
        <v>0.6</v>
      </c>
      <c r="C30" s="65">
        <f>B27</f>
        <v>0.3</v>
      </c>
      <c r="D30" s="7">
        <f t="shared" ref="D30:D37" si="4">A30*B30*C30</f>
        <v>1.7999999999999999E-2</v>
      </c>
    </row>
    <row r="31" spans="1:4" x14ac:dyDescent="0.25">
      <c r="A31" s="3">
        <f t="shared" ref="A31:A37" si="5">A30</f>
        <v>0.1</v>
      </c>
      <c r="B31" s="65">
        <f>B26</f>
        <v>0.6</v>
      </c>
      <c r="C31" s="65">
        <f>B28</f>
        <v>0.1</v>
      </c>
      <c r="D31" s="7">
        <f t="shared" si="4"/>
        <v>6.0000000000000001E-3</v>
      </c>
    </row>
    <row r="32" spans="1:4" x14ac:dyDescent="0.25">
      <c r="A32" s="3">
        <f t="shared" si="5"/>
        <v>0.1</v>
      </c>
      <c r="B32" s="65">
        <f>B27</f>
        <v>0.3</v>
      </c>
      <c r="C32" s="65">
        <f t="shared" ref="C32:C37" si="6">C29</f>
        <v>0.6</v>
      </c>
      <c r="D32" s="7">
        <f t="shared" si="4"/>
        <v>1.7999999999999999E-2</v>
      </c>
    </row>
    <row r="33" spans="1:4" x14ac:dyDescent="0.25">
      <c r="A33" s="3">
        <f t="shared" si="5"/>
        <v>0.1</v>
      </c>
      <c r="B33" s="65">
        <f>B32</f>
        <v>0.3</v>
      </c>
      <c r="C33" s="65">
        <f t="shared" si="6"/>
        <v>0.3</v>
      </c>
      <c r="D33" s="7">
        <f t="shared" si="4"/>
        <v>8.9999999999999993E-3</v>
      </c>
    </row>
    <row r="34" spans="1:4" x14ac:dyDescent="0.25">
      <c r="A34" s="3">
        <f t="shared" si="5"/>
        <v>0.1</v>
      </c>
      <c r="B34" s="65">
        <f>B33</f>
        <v>0.3</v>
      </c>
      <c r="C34" s="65">
        <f t="shared" si="6"/>
        <v>0.1</v>
      </c>
      <c r="D34" s="7">
        <f t="shared" si="4"/>
        <v>3.0000000000000001E-3</v>
      </c>
    </row>
    <row r="35" spans="1:4" x14ac:dyDescent="0.25">
      <c r="A35" s="3">
        <f t="shared" si="5"/>
        <v>0.1</v>
      </c>
      <c r="B35" s="65">
        <f>B28</f>
        <v>0.1</v>
      </c>
      <c r="C35" s="65">
        <f t="shared" si="6"/>
        <v>0.6</v>
      </c>
      <c r="D35" s="7">
        <f t="shared" si="4"/>
        <v>6.000000000000001E-3</v>
      </c>
    </row>
    <row r="36" spans="1:4" x14ac:dyDescent="0.25">
      <c r="A36" s="3">
        <f t="shared" si="5"/>
        <v>0.1</v>
      </c>
      <c r="B36" s="65">
        <f>B35</f>
        <v>0.1</v>
      </c>
      <c r="C36" s="65">
        <f t="shared" si="6"/>
        <v>0.3</v>
      </c>
      <c r="D36" s="7">
        <f t="shared" si="4"/>
        <v>3.0000000000000005E-3</v>
      </c>
    </row>
    <row r="37" spans="1:4" x14ac:dyDescent="0.25">
      <c r="A37" s="3">
        <f t="shared" si="5"/>
        <v>0.1</v>
      </c>
      <c r="B37" s="65">
        <f>B36</f>
        <v>0.1</v>
      </c>
      <c r="C37" s="65">
        <f t="shared" si="6"/>
        <v>0.1</v>
      </c>
      <c r="D37" s="7">
        <f t="shared" si="4"/>
        <v>1.0000000000000002E-3</v>
      </c>
    </row>
    <row r="38" spans="1:4" x14ac:dyDescent="0.25">
      <c r="C38" s="75" t="s">
        <v>96</v>
      </c>
      <c r="D38" s="76">
        <f>SUM(D25:D37)</f>
        <v>1</v>
      </c>
    </row>
    <row r="40" spans="1:4" x14ac:dyDescent="0.25">
      <c r="B40" s="77" t="s">
        <v>120</v>
      </c>
      <c r="C40" s="68" t="s">
        <v>123</v>
      </c>
      <c r="D40" t="s">
        <v>124</v>
      </c>
    </row>
    <row r="41" spans="1:4" x14ac:dyDescent="0.25">
      <c r="B41" s="2">
        <v>0</v>
      </c>
      <c r="C41" s="7">
        <v>0.7</v>
      </c>
      <c r="D41" s="5">
        <f>B41*C41</f>
        <v>0</v>
      </c>
    </row>
    <row r="42" spans="1:4" x14ac:dyDescent="0.25">
      <c r="B42" s="2">
        <v>500</v>
      </c>
      <c r="C42" s="7">
        <v>0.12</v>
      </c>
      <c r="D42" s="5">
        <f t="shared" ref="D42:D53" si="7">B42*C42</f>
        <v>60</v>
      </c>
    </row>
    <row r="43" spans="1:4" x14ac:dyDescent="0.25">
      <c r="B43" s="2">
        <v>10000</v>
      </c>
      <c r="C43" s="7">
        <v>0.06</v>
      </c>
      <c r="D43" s="5">
        <f t="shared" si="7"/>
        <v>600</v>
      </c>
    </row>
    <row r="44" spans="1:4" x14ac:dyDescent="0.25">
      <c r="B44" s="2">
        <v>50000</v>
      </c>
      <c r="C44" s="7">
        <v>2.0000000000000004E-2</v>
      </c>
      <c r="D44" s="5">
        <f t="shared" si="7"/>
        <v>1000.0000000000002</v>
      </c>
    </row>
    <row r="45" spans="1:4" x14ac:dyDescent="0.25">
      <c r="B45" s="2">
        <v>1000</v>
      </c>
      <c r="C45" s="7">
        <v>3.5999999999999997E-2</v>
      </c>
      <c r="D45" s="5">
        <f t="shared" si="7"/>
        <v>36</v>
      </c>
    </row>
    <row r="46" spans="1:4" x14ac:dyDescent="0.25">
      <c r="B46" s="2">
        <v>10500</v>
      </c>
      <c r="C46" s="7">
        <v>1.7999999999999999E-2</v>
      </c>
      <c r="D46" s="5">
        <f t="shared" si="7"/>
        <v>188.99999999999997</v>
      </c>
    </row>
    <row r="47" spans="1:4" x14ac:dyDescent="0.25">
      <c r="B47" s="2">
        <v>50500</v>
      </c>
      <c r="C47" s="7">
        <v>6.0000000000000001E-3</v>
      </c>
      <c r="D47" s="5">
        <f t="shared" si="7"/>
        <v>303</v>
      </c>
    </row>
    <row r="48" spans="1:4" x14ac:dyDescent="0.25">
      <c r="B48" s="2">
        <v>10500</v>
      </c>
      <c r="C48" s="7">
        <v>1.7999999999999999E-2</v>
      </c>
      <c r="D48" s="5">
        <f t="shared" si="7"/>
        <v>188.99999999999997</v>
      </c>
    </row>
    <row r="49" spans="2:6" x14ac:dyDescent="0.25">
      <c r="B49" s="2">
        <v>20000</v>
      </c>
      <c r="C49" s="7">
        <v>8.9999999999999993E-3</v>
      </c>
      <c r="D49" s="5">
        <f t="shared" si="7"/>
        <v>180</v>
      </c>
    </row>
    <row r="50" spans="2:6" x14ac:dyDescent="0.25">
      <c r="B50" s="2">
        <v>60000</v>
      </c>
      <c r="C50" s="7">
        <v>3.0000000000000001E-3</v>
      </c>
      <c r="D50" s="5">
        <f t="shared" si="7"/>
        <v>180</v>
      </c>
    </row>
    <row r="51" spans="2:6" x14ac:dyDescent="0.25">
      <c r="B51" s="2">
        <v>50500</v>
      </c>
      <c r="C51" s="7">
        <v>6.000000000000001E-3</v>
      </c>
      <c r="D51" s="5">
        <f t="shared" si="7"/>
        <v>303.00000000000006</v>
      </c>
    </row>
    <row r="52" spans="2:6" x14ac:dyDescent="0.25">
      <c r="B52" s="2">
        <v>60000</v>
      </c>
      <c r="C52" s="7">
        <v>3.0000000000000005E-3</v>
      </c>
      <c r="D52" s="5">
        <f t="shared" si="7"/>
        <v>180.00000000000003</v>
      </c>
    </row>
    <row r="53" spans="2:6" x14ac:dyDescent="0.25">
      <c r="B53" s="2">
        <v>100000</v>
      </c>
      <c r="C53" s="7">
        <v>1.0000000000000002E-3</v>
      </c>
      <c r="D53" s="5">
        <f t="shared" si="7"/>
        <v>100.00000000000003</v>
      </c>
    </row>
    <row r="54" spans="2:6" x14ac:dyDescent="0.25">
      <c r="C54" s="69" t="s">
        <v>96</v>
      </c>
      <c r="D54" s="70">
        <f>SUM(D41:D53)</f>
        <v>3320</v>
      </c>
    </row>
    <row r="55" spans="2:6" x14ac:dyDescent="0.25">
      <c r="C55" s="153" t="s">
        <v>111</v>
      </c>
      <c r="D55" s="153"/>
    </row>
    <row r="57" spans="2:6" x14ac:dyDescent="0.25">
      <c r="B57" s="77" t="s">
        <v>120</v>
      </c>
      <c r="C57" s="68" t="s">
        <v>123</v>
      </c>
      <c r="D57" t="s">
        <v>112</v>
      </c>
    </row>
    <row r="58" spans="2:6" x14ac:dyDescent="0.25">
      <c r="B58" s="2">
        <v>0</v>
      </c>
      <c r="C58" s="7">
        <v>0.7</v>
      </c>
      <c r="D58" s="20">
        <f>C58</f>
        <v>0.7</v>
      </c>
    </row>
    <row r="59" spans="2:6" x14ac:dyDescent="0.25">
      <c r="B59" s="2">
        <v>500</v>
      </c>
      <c r="C59" s="7">
        <v>0.12</v>
      </c>
      <c r="D59" s="20">
        <f>D58+C59</f>
        <v>0.82</v>
      </c>
    </row>
    <row r="60" spans="2:6" x14ac:dyDescent="0.25">
      <c r="B60" s="2">
        <v>1000</v>
      </c>
      <c r="C60" s="7">
        <v>3.5999999999999997E-2</v>
      </c>
      <c r="D60" s="20">
        <f t="shared" ref="D60:D70" si="8">D59+C60</f>
        <v>0.85599999999999998</v>
      </c>
      <c r="F60" s="1" t="s">
        <v>116</v>
      </c>
    </row>
    <row r="61" spans="2:6" x14ac:dyDescent="0.25">
      <c r="B61" s="2">
        <v>10000</v>
      </c>
      <c r="C61" s="7">
        <v>0.06</v>
      </c>
      <c r="D61" s="20">
        <f t="shared" si="8"/>
        <v>0.91599999999999993</v>
      </c>
      <c r="F61" s="3">
        <v>0.99</v>
      </c>
    </row>
    <row r="62" spans="2:6" x14ac:dyDescent="0.25">
      <c r="B62" s="2">
        <v>10500</v>
      </c>
      <c r="C62" s="7">
        <v>1.7999999999999999E-2</v>
      </c>
      <c r="D62" s="20">
        <f t="shared" si="8"/>
        <v>0.93399999999999994</v>
      </c>
    </row>
    <row r="63" spans="2:6" x14ac:dyDescent="0.25">
      <c r="B63" s="2">
        <v>10500</v>
      </c>
      <c r="C63" s="7">
        <v>1.7999999999999999E-2</v>
      </c>
      <c r="D63" s="20">
        <f t="shared" si="8"/>
        <v>0.95199999999999996</v>
      </c>
      <c r="F63" s="1" t="s">
        <v>114</v>
      </c>
    </row>
    <row r="64" spans="2:6" x14ac:dyDescent="0.25">
      <c r="B64" s="2">
        <v>20000</v>
      </c>
      <c r="C64" s="7">
        <v>8.9999999999999993E-3</v>
      </c>
      <c r="D64" s="20">
        <f t="shared" si="8"/>
        <v>0.96099999999999997</v>
      </c>
      <c r="F64" s="62">
        <f>B67</f>
        <v>50500</v>
      </c>
    </row>
    <row r="65" spans="2:6" x14ac:dyDescent="0.25">
      <c r="B65" s="2">
        <v>50000</v>
      </c>
      <c r="C65" s="7">
        <v>2.0000000000000004E-2</v>
      </c>
      <c r="D65" s="20">
        <f t="shared" si="8"/>
        <v>0.98099999999999998</v>
      </c>
    </row>
    <row r="66" spans="2:6" x14ac:dyDescent="0.25">
      <c r="B66" s="2">
        <v>50500</v>
      </c>
      <c r="C66" s="7">
        <v>6.0000000000000001E-3</v>
      </c>
      <c r="D66" s="20">
        <f t="shared" si="8"/>
        <v>0.98699999999999999</v>
      </c>
      <c r="F66" s="1" t="s">
        <v>111</v>
      </c>
    </row>
    <row r="67" spans="2:6" x14ac:dyDescent="0.25">
      <c r="B67" s="71">
        <v>50500</v>
      </c>
      <c r="C67" s="72">
        <v>6.000000000000001E-3</v>
      </c>
      <c r="D67" s="83">
        <f t="shared" si="8"/>
        <v>0.99299999999999999</v>
      </c>
      <c r="F67" s="62">
        <f>D54</f>
        <v>3320</v>
      </c>
    </row>
    <row r="68" spans="2:6" x14ac:dyDescent="0.25">
      <c r="B68" s="2">
        <v>60000</v>
      </c>
      <c r="C68" s="7">
        <v>3.0000000000000001E-3</v>
      </c>
      <c r="D68" s="20">
        <f t="shared" si="8"/>
        <v>0.996</v>
      </c>
    </row>
    <row r="69" spans="2:6" x14ac:dyDescent="0.25">
      <c r="B69" s="2">
        <v>60000</v>
      </c>
      <c r="C69" s="7">
        <v>3.0000000000000005E-3</v>
      </c>
      <c r="D69" s="20">
        <f t="shared" si="8"/>
        <v>0.999</v>
      </c>
      <c r="F69" s="1" t="s">
        <v>115</v>
      </c>
    </row>
    <row r="70" spans="2:6" x14ac:dyDescent="0.25">
      <c r="B70" s="2">
        <v>100000</v>
      </c>
      <c r="C70" s="7">
        <v>1.0000000000000002E-3</v>
      </c>
      <c r="D70" s="20">
        <f t="shared" si="8"/>
        <v>1</v>
      </c>
      <c r="F70" s="62">
        <f>F64-F67</f>
        <v>47180</v>
      </c>
    </row>
  </sheetData>
  <sortState xmlns:xlrd2="http://schemas.microsoft.com/office/spreadsheetml/2017/richdata2" ref="B58:D70">
    <sortCondition ref="B58:B70"/>
  </sortState>
  <mergeCells count="4">
    <mergeCell ref="A7:D7"/>
    <mergeCell ref="A23:D23"/>
    <mergeCell ref="C55:D55"/>
    <mergeCell ref="D6:E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E17FF-6473-4739-886C-7645A8CDF5CB}">
  <dimension ref="B1:F9"/>
  <sheetViews>
    <sheetView zoomScale="200" zoomScaleNormal="200" workbookViewId="0">
      <selection activeCell="D9" sqref="D9"/>
    </sheetView>
  </sheetViews>
  <sheetFormatPr defaultRowHeight="15.75" x14ac:dyDescent="0.25"/>
  <cols>
    <col min="2" max="2" width="17.625" bestFit="1" customWidth="1"/>
    <col min="3" max="3" width="11.875" bestFit="1" customWidth="1"/>
    <col min="4" max="4" width="10.5" bestFit="1" customWidth="1"/>
    <col min="6" max="6" width="10.875" bestFit="1" customWidth="1"/>
  </cols>
  <sheetData>
    <row r="1" spans="2:6" x14ac:dyDescent="0.25">
      <c r="B1" t="s">
        <v>128</v>
      </c>
    </row>
    <row r="2" spans="2:6" x14ac:dyDescent="0.25">
      <c r="B2" t="s">
        <v>134</v>
      </c>
      <c r="C2" t="s">
        <v>129</v>
      </c>
      <c r="D2" t="s">
        <v>130</v>
      </c>
    </row>
    <row r="3" spans="2:6" x14ac:dyDescent="0.25">
      <c r="B3" t="s">
        <v>131</v>
      </c>
      <c r="C3">
        <f>415/252</f>
        <v>1.6468253968253967</v>
      </c>
    </row>
    <row r="5" spans="2:6" x14ac:dyDescent="0.25">
      <c r="B5" t="s">
        <v>132</v>
      </c>
    </row>
    <row r="6" spans="2:6" x14ac:dyDescent="0.25">
      <c r="B6" t="s">
        <v>133</v>
      </c>
      <c r="C6" t="s">
        <v>113</v>
      </c>
      <c r="D6" t="s">
        <v>135</v>
      </c>
      <c r="F6" t="s">
        <v>136</v>
      </c>
    </row>
    <row r="7" spans="2:6" x14ac:dyDescent="0.25">
      <c r="B7">
        <v>0</v>
      </c>
      <c r="C7" s="21">
        <f>_xlfn.POISSON.DIST(B7,$C$3,FALSE)</f>
        <v>0.19266055964483328</v>
      </c>
      <c r="D7" s="20">
        <f>C7</f>
        <v>0.19266055964483328</v>
      </c>
      <c r="F7" s="21">
        <f>_xlfn.POISSON.DIST(B7,$C$3,TRUE)</f>
        <v>0.19266055964483328</v>
      </c>
    </row>
    <row r="8" spans="2:6" x14ac:dyDescent="0.25">
      <c r="B8">
        <v>1</v>
      </c>
      <c r="C8" s="21">
        <f t="shared" ref="C8:C9" si="0">_xlfn.POISSON.DIST(B8,$C$3,FALSE)</f>
        <v>0.31727830258970557</v>
      </c>
      <c r="D8" s="20">
        <f>D7+C8</f>
        <v>0.50993886223453888</v>
      </c>
      <c r="F8" s="21">
        <f t="shared" ref="F8:F9" si="1">_xlfn.POISSON.DIST(B8,$C$3,TRUE)</f>
        <v>0.50993886223453877</v>
      </c>
    </row>
    <row r="9" spans="2:6" x14ac:dyDescent="0.25">
      <c r="B9">
        <v>2</v>
      </c>
      <c r="C9" s="21">
        <f t="shared" si="0"/>
        <v>0.26125098328319013</v>
      </c>
      <c r="D9" s="20">
        <f>D8+C9</f>
        <v>0.77118984551772907</v>
      </c>
      <c r="F9" s="21">
        <f t="shared" si="1"/>
        <v>0.77118984551772884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1056-3D26-B740-9A11-48E82722678C}">
  <dimension ref="A1:F194"/>
  <sheetViews>
    <sheetView tabSelected="1" zoomScaleNormal="100" workbookViewId="0">
      <selection activeCell="D6" sqref="D6"/>
    </sheetView>
  </sheetViews>
  <sheetFormatPr defaultColWidth="11" defaultRowHeight="15.75" x14ac:dyDescent="0.25"/>
  <cols>
    <col min="1" max="1" width="36.75" bestFit="1" customWidth="1"/>
    <col min="2" max="2" width="13" bestFit="1" customWidth="1"/>
    <col min="3" max="6" width="12.875" bestFit="1" customWidth="1"/>
  </cols>
  <sheetData>
    <row r="1" spans="1:6" x14ac:dyDescent="0.25">
      <c r="A1" s="84" t="s">
        <v>137</v>
      </c>
      <c r="B1" s="85" t="s">
        <v>145</v>
      </c>
    </row>
    <row r="2" spans="1:6" x14ac:dyDescent="0.25">
      <c r="A2" s="86" t="s">
        <v>138</v>
      </c>
      <c r="B2" s="87">
        <v>50</v>
      </c>
    </row>
    <row r="3" spans="1:6" x14ac:dyDescent="0.25">
      <c r="A3" s="86" t="s">
        <v>139</v>
      </c>
      <c r="B3" s="88">
        <v>1000</v>
      </c>
    </row>
    <row r="4" spans="1:6" x14ac:dyDescent="0.25">
      <c r="A4" s="86" t="s">
        <v>140</v>
      </c>
      <c r="B4" s="87">
        <v>30</v>
      </c>
    </row>
    <row r="5" spans="1:6" x14ac:dyDescent="0.25">
      <c r="A5" s="86" t="s">
        <v>141</v>
      </c>
      <c r="B5" s="87">
        <v>8000</v>
      </c>
    </row>
    <row r="6" spans="1:6" x14ac:dyDescent="0.25">
      <c r="A6" s="86" t="s">
        <v>142</v>
      </c>
      <c r="B6" s="87">
        <v>20000</v>
      </c>
    </row>
    <row r="7" spans="1:6" x14ac:dyDescent="0.25">
      <c r="A7" s="86" t="s">
        <v>143</v>
      </c>
      <c r="B7" s="89">
        <f>B6/4</f>
        <v>5000</v>
      </c>
    </row>
    <row r="8" spans="1:6" x14ac:dyDescent="0.25">
      <c r="A8" s="86" t="s">
        <v>144</v>
      </c>
      <c r="B8" s="90">
        <v>0.18</v>
      </c>
    </row>
    <row r="9" spans="1:6" ht="16.5" thickBot="1" x14ac:dyDescent="0.3"/>
    <row r="10" spans="1:6" x14ac:dyDescent="0.25">
      <c r="A10" s="91" t="s">
        <v>28</v>
      </c>
      <c r="B10" s="92" t="s">
        <v>29</v>
      </c>
      <c r="C10" s="92" t="s">
        <v>22</v>
      </c>
      <c r="D10" s="92" t="s">
        <v>24</v>
      </c>
      <c r="E10" s="92" t="s">
        <v>25</v>
      </c>
      <c r="F10" s="93" t="s">
        <v>26</v>
      </c>
    </row>
    <row r="11" spans="1:6" x14ac:dyDescent="0.25">
      <c r="A11" s="94" t="s">
        <v>146</v>
      </c>
      <c r="B11" s="95"/>
      <c r="C11" s="96">
        <f>B2*B3</f>
        <v>50000</v>
      </c>
      <c r="D11" s="96">
        <f>C11</f>
        <v>50000</v>
      </c>
      <c r="E11" s="96">
        <f t="shared" ref="E11:F11" si="0">D11</f>
        <v>50000</v>
      </c>
      <c r="F11" s="97">
        <f t="shared" si="0"/>
        <v>50000</v>
      </c>
    </row>
    <row r="12" spans="1:6" x14ac:dyDescent="0.25">
      <c r="A12" s="54" t="s">
        <v>147</v>
      </c>
      <c r="B12" s="95"/>
      <c r="C12" s="95">
        <f>B3*B4</f>
        <v>30000</v>
      </c>
      <c r="D12" s="95">
        <f>C12</f>
        <v>30000</v>
      </c>
      <c r="E12" s="95">
        <f t="shared" ref="E12:F12" si="1">D12</f>
        <v>30000</v>
      </c>
      <c r="F12" s="98">
        <f t="shared" si="1"/>
        <v>30000</v>
      </c>
    </row>
    <row r="13" spans="1:6" x14ac:dyDescent="0.25">
      <c r="A13" s="94" t="s">
        <v>148</v>
      </c>
      <c r="B13" s="95"/>
      <c r="C13" s="96">
        <f>C11-C12</f>
        <v>20000</v>
      </c>
      <c r="D13" s="96">
        <f t="shared" ref="D13:F13" si="2">D11-D12</f>
        <v>20000</v>
      </c>
      <c r="E13" s="96">
        <f t="shared" si="2"/>
        <v>20000</v>
      </c>
      <c r="F13" s="97">
        <f t="shared" si="2"/>
        <v>20000</v>
      </c>
    </row>
    <row r="14" spans="1:6" x14ac:dyDescent="0.25">
      <c r="A14" s="54" t="s">
        <v>149</v>
      </c>
      <c r="B14" s="95"/>
      <c r="C14" s="95">
        <f>B5</f>
        <v>8000</v>
      </c>
      <c r="D14" s="95">
        <f>C14</f>
        <v>8000</v>
      </c>
      <c r="E14" s="95">
        <f t="shared" ref="E14:F14" si="3">D14</f>
        <v>8000</v>
      </c>
      <c r="F14" s="98">
        <f t="shared" si="3"/>
        <v>8000</v>
      </c>
    </row>
    <row r="15" spans="1:6" x14ac:dyDescent="0.25">
      <c r="A15" s="94" t="s">
        <v>150</v>
      </c>
      <c r="B15" s="95"/>
      <c r="C15" s="96">
        <f>C13-C14</f>
        <v>12000</v>
      </c>
      <c r="D15" s="96">
        <f t="shared" ref="D15:F15" si="4">D13-D14</f>
        <v>12000</v>
      </c>
      <c r="E15" s="96">
        <f t="shared" si="4"/>
        <v>12000</v>
      </c>
      <c r="F15" s="97">
        <f t="shared" si="4"/>
        <v>12000</v>
      </c>
    </row>
    <row r="16" spans="1:6" x14ac:dyDescent="0.25">
      <c r="A16" s="54" t="s">
        <v>151</v>
      </c>
      <c r="B16" s="95"/>
      <c r="C16" s="95">
        <f>B7</f>
        <v>5000</v>
      </c>
      <c r="D16" s="95">
        <f>C16</f>
        <v>5000</v>
      </c>
      <c r="E16" s="95">
        <f t="shared" ref="E16:F16" si="5">D16</f>
        <v>5000</v>
      </c>
      <c r="F16" s="98">
        <f t="shared" si="5"/>
        <v>5000</v>
      </c>
    </row>
    <row r="17" spans="1:6" x14ac:dyDescent="0.25">
      <c r="A17" s="94" t="s">
        <v>152</v>
      </c>
      <c r="B17" s="95"/>
      <c r="C17" s="96">
        <f>C15-C16</f>
        <v>7000</v>
      </c>
      <c r="D17" s="96">
        <f t="shared" ref="D17:F17" si="6">D15-D16</f>
        <v>7000</v>
      </c>
      <c r="E17" s="96">
        <f t="shared" si="6"/>
        <v>7000</v>
      </c>
      <c r="F17" s="97">
        <f t="shared" si="6"/>
        <v>7000</v>
      </c>
    </row>
    <row r="18" spans="1:6" x14ac:dyDescent="0.25">
      <c r="A18" s="54" t="s">
        <v>153</v>
      </c>
      <c r="B18" s="95"/>
      <c r="C18" s="95">
        <f>C17*0.4</f>
        <v>2800</v>
      </c>
      <c r="D18" s="95">
        <f t="shared" ref="D18:F18" si="7">D17*0.4</f>
        <v>2800</v>
      </c>
      <c r="E18" s="95">
        <f t="shared" si="7"/>
        <v>2800</v>
      </c>
      <c r="F18" s="98">
        <f t="shared" si="7"/>
        <v>2800</v>
      </c>
    </row>
    <row r="19" spans="1:6" x14ac:dyDescent="0.25">
      <c r="A19" s="94" t="s">
        <v>154</v>
      </c>
      <c r="B19" s="95"/>
      <c r="C19" s="96">
        <f>C17-C18</f>
        <v>4200</v>
      </c>
      <c r="D19" s="96">
        <f t="shared" ref="D19:F19" si="8">D17-D18</f>
        <v>4200</v>
      </c>
      <c r="E19" s="96">
        <f t="shared" si="8"/>
        <v>4200</v>
      </c>
      <c r="F19" s="97">
        <f t="shared" si="8"/>
        <v>4200</v>
      </c>
    </row>
    <row r="20" spans="1:6" x14ac:dyDescent="0.25">
      <c r="A20" s="54" t="s">
        <v>155</v>
      </c>
      <c r="B20" s="96"/>
      <c r="C20" s="96">
        <f>C16</f>
        <v>5000</v>
      </c>
      <c r="D20" s="96">
        <f t="shared" ref="D20:F20" si="9">D16</f>
        <v>5000</v>
      </c>
      <c r="E20" s="96">
        <f t="shared" si="9"/>
        <v>5000</v>
      </c>
      <c r="F20" s="97">
        <f t="shared" si="9"/>
        <v>5000</v>
      </c>
    </row>
    <row r="21" spans="1:6" x14ac:dyDescent="0.25">
      <c r="A21" s="94" t="s">
        <v>156</v>
      </c>
      <c r="B21" s="95">
        <f>-B6</f>
        <v>-20000</v>
      </c>
      <c r="C21" s="95"/>
      <c r="D21" s="95"/>
      <c r="E21" s="95"/>
      <c r="F21" s="98"/>
    </row>
    <row r="22" spans="1:6" x14ac:dyDescent="0.25">
      <c r="A22" s="94" t="s">
        <v>157</v>
      </c>
      <c r="B22" s="96">
        <f>B19+B20+B21</f>
        <v>-20000</v>
      </c>
      <c r="C22" s="96">
        <f t="shared" ref="C22:F22" si="10">C19+C20+C21</f>
        <v>9200</v>
      </c>
      <c r="D22" s="96">
        <f t="shared" si="10"/>
        <v>9200</v>
      </c>
      <c r="E22" s="96">
        <f t="shared" si="10"/>
        <v>9200</v>
      </c>
      <c r="F22" s="97">
        <f t="shared" si="10"/>
        <v>9200</v>
      </c>
    </row>
    <row r="23" spans="1:6" x14ac:dyDescent="0.25">
      <c r="A23" s="54"/>
      <c r="F23" s="99"/>
    </row>
    <row r="24" spans="1:6" x14ac:dyDescent="0.25">
      <c r="A24" s="94" t="s">
        <v>158</v>
      </c>
      <c r="B24" s="102">
        <f>NPV(B8,C22:F22)+B22</f>
        <v>4748.5686033452403</v>
      </c>
      <c r="F24" s="99"/>
    </row>
    <row r="25" spans="1:6" ht="16.5" thickBot="1" x14ac:dyDescent="0.3">
      <c r="A25" s="100" t="s">
        <v>159</v>
      </c>
      <c r="B25" s="103">
        <f>IRR(B22:F22)</f>
        <v>0.29789262519064974</v>
      </c>
      <c r="C25" s="38"/>
      <c r="D25" s="38"/>
      <c r="E25" s="38"/>
      <c r="F25" s="101"/>
    </row>
    <row r="27" spans="1:6" x14ac:dyDescent="0.25">
      <c r="A27" s="155" t="s">
        <v>160</v>
      </c>
      <c r="B27" s="155"/>
      <c r="C27" s="155"/>
      <c r="D27" s="155"/>
      <c r="E27" s="155"/>
      <c r="F27" s="155"/>
    </row>
    <row r="29" spans="1:6" x14ac:dyDescent="0.25">
      <c r="A29" t="s">
        <v>161</v>
      </c>
    </row>
    <row r="30" spans="1:6" x14ac:dyDescent="0.25">
      <c r="A30" s="84" t="s">
        <v>137</v>
      </c>
      <c r="B30" s="85" t="s">
        <v>145</v>
      </c>
    </row>
    <row r="31" spans="1:6" x14ac:dyDescent="0.25">
      <c r="A31" s="86" t="s">
        <v>138</v>
      </c>
      <c r="B31" s="104">
        <v>47.057955697629644</v>
      </c>
    </row>
    <row r="32" spans="1:6" x14ac:dyDescent="0.25">
      <c r="A32" s="86" t="s">
        <v>139</v>
      </c>
      <c r="B32" s="88">
        <v>1000</v>
      </c>
    </row>
    <row r="33" spans="1:6" x14ac:dyDescent="0.25">
      <c r="A33" s="86" t="s">
        <v>140</v>
      </c>
      <c r="B33" s="87">
        <v>30</v>
      </c>
    </row>
    <row r="34" spans="1:6" x14ac:dyDescent="0.25">
      <c r="A34" s="86" t="s">
        <v>141</v>
      </c>
      <c r="B34" s="87">
        <v>8000</v>
      </c>
    </row>
    <row r="35" spans="1:6" x14ac:dyDescent="0.25">
      <c r="A35" s="86" t="s">
        <v>142</v>
      </c>
      <c r="B35" s="87">
        <v>20000</v>
      </c>
    </row>
    <row r="36" spans="1:6" x14ac:dyDescent="0.25">
      <c r="A36" s="86" t="s">
        <v>143</v>
      </c>
      <c r="B36" s="89">
        <f>B35/4</f>
        <v>5000</v>
      </c>
    </row>
    <row r="37" spans="1:6" x14ac:dyDescent="0.25">
      <c r="A37" s="86" t="s">
        <v>144</v>
      </c>
      <c r="B37" s="90">
        <v>0.18</v>
      </c>
    </row>
    <row r="38" spans="1:6" ht="16.5" thickBot="1" x14ac:dyDescent="0.3"/>
    <row r="39" spans="1:6" x14ac:dyDescent="0.25">
      <c r="A39" s="91" t="s">
        <v>28</v>
      </c>
      <c r="B39" s="92" t="s">
        <v>29</v>
      </c>
      <c r="C39" s="92" t="s">
        <v>22</v>
      </c>
      <c r="D39" s="92" t="s">
        <v>24</v>
      </c>
      <c r="E39" s="92" t="s">
        <v>25</v>
      </c>
      <c r="F39" s="93" t="s">
        <v>26</v>
      </c>
    </row>
    <row r="40" spans="1:6" x14ac:dyDescent="0.25">
      <c r="A40" s="94" t="s">
        <v>146</v>
      </c>
      <c r="B40" s="95"/>
      <c r="C40" s="96">
        <f>B31*B32</f>
        <v>47057.955697629644</v>
      </c>
      <c r="D40" s="96">
        <f>C40</f>
        <v>47057.955697629644</v>
      </c>
      <c r="E40" s="96">
        <f t="shared" ref="E40:F40" si="11">D40</f>
        <v>47057.955697629644</v>
      </c>
      <c r="F40" s="97">
        <f t="shared" si="11"/>
        <v>47057.955697629644</v>
      </c>
    </row>
    <row r="41" spans="1:6" x14ac:dyDescent="0.25">
      <c r="A41" s="54" t="s">
        <v>147</v>
      </c>
      <c r="B41" s="95"/>
      <c r="C41" s="95">
        <f>B32*B33</f>
        <v>30000</v>
      </c>
      <c r="D41" s="95">
        <f>C41</f>
        <v>30000</v>
      </c>
      <c r="E41" s="95">
        <f t="shared" ref="E41:F41" si="12">D41</f>
        <v>30000</v>
      </c>
      <c r="F41" s="98">
        <f t="shared" si="12"/>
        <v>30000</v>
      </c>
    </row>
    <row r="42" spans="1:6" x14ac:dyDescent="0.25">
      <c r="A42" s="94" t="s">
        <v>148</v>
      </c>
      <c r="B42" s="95"/>
      <c r="C42" s="96">
        <f>C40-C41</f>
        <v>17057.955697629644</v>
      </c>
      <c r="D42" s="96">
        <f t="shared" ref="D42" si="13">D40-D41</f>
        <v>17057.955697629644</v>
      </c>
      <c r="E42" s="96">
        <f t="shared" ref="E42" si="14">E40-E41</f>
        <v>17057.955697629644</v>
      </c>
      <c r="F42" s="97">
        <f t="shared" ref="F42" si="15">F40-F41</f>
        <v>17057.955697629644</v>
      </c>
    </row>
    <row r="43" spans="1:6" x14ac:dyDescent="0.25">
      <c r="A43" s="54" t="s">
        <v>149</v>
      </c>
      <c r="B43" s="95"/>
      <c r="C43" s="95">
        <f>B34</f>
        <v>8000</v>
      </c>
      <c r="D43" s="95">
        <f>C43</f>
        <v>8000</v>
      </c>
      <c r="E43" s="95">
        <f t="shared" ref="E43:F43" si="16">D43</f>
        <v>8000</v>
      </c>
      <c r="F43" s="98">
        <f t="shared" si="16"/>
        <v>8000</v>
      </c>
    </row>
    <row r="44" spans="1:6" x14ac:dyDescent="0.25">
      <c r="A44" s="94" t="s">
        <v>150</v>
      </c>
      <c r="B44" s="95"/>
      <c r="C44" s="96">
        <f>C42-C43</f>
        <v>9057.9556976296444</v>
      </c>
      <c r="D44" s="96">
        <f t="shared" ref="D44" si="17">D42-D43</f>
        <v>9057.9556976296444</v>
      </c>
      <c r="E44" s="96">
        <f t="shared" ref="E44" si="18">E42-E43</f>
        <v>9057.9556976296444</v>
      </c>
      <c r="F44" s="97">
        <f t="shared" ref="F44" si="19">F42-F43</f>
        <v>9057.9556976296444</v>
      </c>
    </row>
    <row r="45" spans="1:6" x14ac:dyDescent="0.25">
      <c r="A45" s="54" t="s">
        <v>151</v>
      </c>
      <c r="B45" s="95"/>
      <c r="C45" s="95">
        <f>B36</f>
        <v>5000</v>
      </c>
      <c r="D45" s="95">
        <f>C45</f>
        <v>5000</v>
      </c>
      <c r="E45" s="95">
        <f t="shared" ref="E45:F45" si="20">D45</f>
        <v>5000</v>
      </c>
      <c r="F45" s="98">
        <f t="shared" si="20"/>
        <v>5000</v>
      </c>
    </row>
    <row r="46" spans="1:6" x14ac:dyDescent="0.25">
      <c r="A46" s="94" t="s">
        <v>152</v>
      </c>
      <c r="B46" s="95"/>
      <c r="C46" s="96">
        <f>C44-C45</f>
        <v>4057.9556976296444</v>
      </c>
      <c r="D46" s="96">
        <f t="shared" ref="D46" si="21">D44-D45</f>
        <v>4057.9556976296444</v>
      </c>
      <c r="E46" s="96">
        <f t="shared" ref="E46" si="22">E44-E45</f>
        <v>4057.9556976296444</v>
      </c>
      <c r="F46" s="97">
        <f t="shared" ref="F46" si="23">F44-F45</f>
        <v>4057.9556976296444</v>
      </c>
    </row>
    <row r="47" spans="1:6" x14ac:dyDescent="0.25">
      <c r="A47" s="54" t="s">
        <v>153</v>
      </c>
      <c r="B47" s="95"/>
      <c r="C47" s="95">
        <f>C46*0.4</f>
        <v>1623.1822790518579</v>
      </c>
      <c r="D47" s="95">
        <f t="shared" ref="D47" si="24">D46*0.4</f>
        <v>1623.1822790518579</v>
      </c>
      <c r="E47" s="95">
        <f t="shared" ref="E47" si="25">E46*0.4</f>
        <v>1623.1822790518579</v>
      </c>
      <c r="F47" s="98">
        <f t="shared" ref="F47" si="26">F46*0.4</f>
        <v>1623.1822790518579</v>
      </c>
    </row>
    <row r="48" spans="1:6" x14ac:dyDescent="0.25">
      <c r="A48" s="94" t="s">
        <v>154</v>
      </c>
      <c r="B48" s="95"/>
      <c r="C48" s="96">
        <f>C46-C47</f>
        <v>2434.7734185777863</v>
      </c>
      <c r="D48" s="96">
        <f t="shared" ref="D48" si="27">D46-D47</f>
        <v>2434.7734185777863</v>
      </c>
      <c r="E48" s="96">
        <f t="shared" ref="E48" si="28">E46-E47</f>
        <v>2434.7734185777863</v>
      </c>
      <c r="F48" s="97">
        <f t="shared" ref="F48" si="29">F46-F47</f>
        <v>2434.7734185777863</v>
      </c>
    </row>
    <row r="49" spans="1:6" x14ac:dyDescent="0.25">
      <c r="A49" s="54" t="s">
        <v>155</v>
      </c>
      <c r="B49" s="96"/>
      <c r="C49" s="96">
        <f>C45</f>
        <v>5000</v>
      </c>
      <c r="D49" s="96">
        <f t="shared" ref="D49:F49" si="30">D45</f>
        <v>5000</v>
      </c>
      <c r="E49" s="96">
        <f t="shared" si="30"/>
        <v>5000</v>
      </c>
      <c r="F49" s="97">
        <f t="shared" si="30"/>
        <v>5000</v>
      </c>
    </row>
    <row r="50" spans="1:6" x14ac:dyDescent="0.25">
      <c r="A50" s="94" t="s">
        <v>156</v>
      </c>
      <c r="B50" s="95">
        <f>-B35</f>
        <v>-20000</v>
      </c>
      <c r="C50" s="95"/>
      <c r="D50" s="95"/>
      <c r="E50" s="95"/>
      <c r="F50" s="98"/>
    </row>
    <row r="51" spans="1:6" x14ac:dyDescent="0.25">
      <c r="A51" s="94" t="s">
        <v>157</v>
      </c>
      <c r="B51" s="96">
        <f>B48+B49+B50</f>
        <v>-20000</v>
      </c>
      <c r="C51" s="96">
        <f t="shared" ref="C51" si="31">C48+C49+C50</f>
        <v>7434.7734185777863</v>
      </c>
      <c r="D51" s="96">
        <f t="shared" ref="D51" si="32">D48+D49+D50</f>
        <v>7434.7734185777863</v>
      </c>
      <c r="E51" s="96">
        <f t="shared" ref="E51" si="33">E48+E49+E50</f>
        <v>7434.7734185777863</v>
      </c>
      <c r="F51" s="97">
        <f t="shared" ref="F51" si="34">F48+F49+F50</f>
        <v>7434.7734185777863</v>
      </c>
    </row>
    <row r="52" spans="1:6" x14ac:dyDescent="0.25">
      <c r="A52" s="54"/>
      <c r="F52" s="99"/>
    </row>
    <row r="53" spans="1:6" x14ac:dyDescent="0.25">
      <c r="A53" s="94" t="s">
        <v>158</v>
      </c>
      <c r="B53" s="102">
        <f>NPV(B37,C51:F51)+B51</f>
        <v>0</v>
      </c>
      <c r="F53" s="99"/>
    </row>
    <row r="54" spans="1:6" ht="16.5" thickBot="1" x14ac:dyDescent="0.3">
      <c r="A54" s="100" t="s">
        <v>159</v>
      </c>
      <c r="B54" s="103">
        <f>IRR(B51:F51)</f>
        <v>0.17999999999999905</v>
      </c>
      <c r="C54" s="38"/>
      <c r="D54" s="38"/>
      <c r="E54" s="38"/>
      <c r="F54" s="101"/>
    </row>
    <row r="57" spans="1:6" x14ac:dyDescent="0.25">
      <c r="A57" t="s">
        <v>162</v>
      </c>
    </row>
    <row r="58" spans="1:6" x14ac:dyDescent="0.25">
      <c r="A58" s="84" t="s">
        <v>137</v>
      </c>
      <c r="B58" s="85" t="s">
        <v>145</v>
      </c>
    </row>
    <row r="59" spans="1:6" x14ac:dyDescent="0.25">
      <c r="A59" s="86" t="s">
        <v>138</v>
      </c>
      <c r="B59" s="87">
        <v>50</v>
      </c>
    </row>
    <row r="60" spans="1:6" x14ac:dyDescent="0.25">
      <c r="A60" s="86" t="s">
        <v>139</v>
      </c>
      <c r="B60" s="105">
        <v>852.89778488148238</v>
      </c>
    </row>
    <row r="61" spans="1:6" x14ac:dyDescent="0.25">
      <c r="A61" s="86" t="s">
        <v>140</v>
      </c>
      <c r="B61" s="87">
        <v>30</v>
      </c>
    </row>
    <row r="62" spans="1:6" x14ac:dyDescent="0.25">
      <c r="A62" s="86" t="s">
        <v>141</v>
      </c>
      <c r="B62" s="87">
        <v>8000</v>
      </c>
    </row>
    <row r="63" spans="1:6" x14ac:dyDescent="0.25">
      <c r="A63" s="86" t="s">
        <v>142</v>
      </c>
      <c r="B63" s="87">
        <v>20000</v>
      </c>
    </row>
    <row r="64" spans="1:6" x14ac:dyDescent="0.25">
      <c r="A64" s="86" t="s">
        <v>143</v>
      </c>
      <c r="B64" s="89">
        <f>B63/4</f>
        <v>5000</v>
      </c>
    </row>
    <row r="65" spans="1:6" x14ac:dyDescent="0.25">
      <c r="A65" s="86" t="s">
        <v>144</v>
      </c>
      <c r="B65" s="90">
        <v>0.18</v>
      </c>
    </row>
    <row r="66" spans="1:6" ht="16.5" thickBot="1" x14ac:dyDescent="0.3"/>
    <row r="67" spans="1:6" x14ac:dyDescent="0.25">
      <c r="A67" s="91" t="s">
        <v>28</v>
      </c>
      <c r="B67" s="92" t="s">
        <v>29</v>
      </c>
      <c r="C67" s="92" t="s">
        <v>22</v>
      </c>
      <c r="D67" s="92" t="s">
        <v>24</v>
      </c>
      <c r="E67" s="92" t="s">
        <v>25</v>
      </c>
      <c r="F67" s="93" t="s">
        <v>26</v>
      </c>
    </row>
    <row r="68" spans="1:6" x14ac:dyDescent="0.25">
      <c r="A68" s="94" t="s">
        <v>146</v>
      </c>
      <c r="B68" s="95"/>
      <c r="C68" s="96">
        <f>B59*B60</f>
        <v>42644.889244074118</v>
      </c>
      <c r="D68" s="96">
        <f>C68</f>
        <v>42644.889244074118</v>
      </c>
      <c r="E68" s="96">
        <f t="shared" ref="E68:F68" si="35">D68</f>
        <v>42644.889244074118</v>
      </c>
      <c r="F68" s="97">
        <f t="shared" si="35"/>
        <v>42644.889244074118</v>
      </c>
    </row>
    <row r="69" spans="1:6" x14ac:dyDescent="0.25">
      <c r="A69" s="54" t="s">
        <v>147</v>
      </c>
      <c r="B69" s="95"/>
      <c r="C69" s="95">
        <f>B60*B61</f>
        <v>25586.93354644447</v>
      </c>
      <c r="D69" s="95">
        <f>C69</f>
        <v>25586.93354644447</v>
      </c>
      <c r="E69" s="95">
        <f t="shared" ref="E69:F69" si="36">D69</f>
        <v>25586.93354644447</v>
      </c>
      <c r="F69" s="98">
        <f t="shared" si="36"/>
        <v>25586.93354644447</v>
      </c>
    </row>
    <row r="70" spans="1:6" x14ac:dyDescent="0.25">
      <c r="A70" s="94" t="s">
        <v>148</v>
      </c>
      <c r="B70" s="95"/>
      <c r="C70" s="96">
        <f>C68-C69</f>
        <v>17057.955697629648</v>
      </c>
      <c r="D70" s="96">
        <f t="shared" ref="D70" si="37">D68-D69</f>
        <v>17057.955697629648</v>
      </c>
      <c r="E70" s="96">
        <f t="shared" ref="E70" si="38">E68-E69</f>
        <v>17057.955697629648</v>
      </c>
      <c r="F70" s="97">
        <f t="shared" ref="F70" si="39">F68-F69</f>
        <v>17057.955697629648</v>
      </c>
    </row>
    <row r="71" spans="1:6" x14ac:dyDescent="0.25">
      <c r="A71" s="54" t="s">
        <v>149</v>
      </c>
      <c r="B71" s="95"/>
      <c r="C71" s="95">
        <f>B62</f>
        <v>8000</v>
      </c>
      <c r="D71" s="95">
        <f>C71</f>
        <v>8000</v>
      </c>
      <c r="E71" s="95">
        <f t="shared" ref="E71:F71" si="40">D71</f>
        <v>8000</v>
      </c>
      <c r="F71" s="98">
        <f t="shared" si="40"/>
        <v>8000</v>
      </c>
    </row>
    <row r="72" spans="1:6" x14ac:dyDescent="0.25">
      <c r="A72" s="94" t="s">
        <v>150</v>
      </c>
      <c r="B72" s="95"/>
      <c r="C72" s="96">
        <f>C70-C71</f>
        <v>9057.9556976296481</v>
      </c>
      <c r="D72" s="96">
        <f t="shared" ref="D72" si="41">D70-D71</f>
        <v>9057.9556976296481</v>
      </c>
      <c r="E72" s="96">
        <f t="shared" ref="E72" si="42">E70-E71</f>
        <v>9057.9556976296481</v>
      </c>
      <c r="F72" s="97">
        <f t="shared" ref="F72" si="43">F70-F71</f>
        <v>9057.9556976296481</v>
      </c>
    </row>
    <row r="73" spans="1:6" x14ac:dyDescent="0.25">
      <c r="A73" s="54" t="s">
        <v>151</v>
      </c>
      <c r="B73" s="95"/>
      <c r="C73" s="95">
        <f>B64</f>
        <v>5000</v>
      </c>
      <c r="D73" s="95">
        <f>C73</f>
        <v>5000</v>
      </c>
      <c r="E73" s="95">
        <f t="shared" ref="E73:F73" si="44">D73</f>
        <v>5000</v>
      </c>
      <c r="F73" s="98">
        <f t="shared" si="44"/>
        <v>5000</v>
      </c>
    </row>
    <row r="74" spans="1:6" x14ac:dyDescent="0.25">
      <c r="A74" s="94" t="s">
        <v>152</v>
      </c>
      <c r="B74" s="95"/>
      <c r="C74" s="96">
        <f>C72-C73</f>
        <v>4057.9556976296481</v>
      </c>
      <c r="D74" s="96">
        <f t="shared" ref="D74" si="45">D72-D73</f>
        <v>4057.9556976296481</v>
      </c>
      <c r="E74" s="96">
        <f t="shared" ref="E74" si="46">E72-E73</f>
        <v>4057.9556976296481</v>
      </c>
      <c r="F74" s="97">
        <f t="shared" ref="F74" si="47">F72-F73</f>
        <v>4057.9556976296481</v>
      </c>
    </row>
    <row r="75" spans="1:6" x14ac:dyDescent="0.25">
      <c r="A75" s="54" t="s">
        <v>153</v>
      </c>
      <c r="B75" s="95"/>
      <c r="C75" s="95">
        <f>C74*0.4</f>
        <v>1623.1822790518593</v>
      </c>
      <c r="D75" s="95">
        <f t="shared" ref="D75" si="48">D74*0.4</f>
        <v>1623.1822790518593</v>
      </c>
      <c r="E75" s="95">
        <f t="shared" ref="E75" si="49">E74*0.4</f>
        <v>1623.1822790518593</v>
      </c>
      <c r="F75" s="98">
        <f t="shared" ref="F75" si="50">F74*0.4</f>
        <v>1623.1822790518593</v>
      </c>
    </row>
    <row r="76" spans="1:6" x14ac:dyDescent="0.25">
      <c r="A76" s="94" t="s">
        <v>154</v>
      </c>
      <c r="B76" s="95"/>
      <c r="C76" s="96">
        <f>C74-C75</f>
        <v>2434.773418577789</v>
      </c>
      <c r="D76" s="96">
        <f t="shared" ref="D76" si="51">D74-D75</f>
        <v>2434.773418577789</v>
      </c>
      <c r="E76" s="96">
        <f t="shared" ref="E76" si="52">E74-E75</f>
        <v>2434.773418577789</v>
      </c>
      <c r="F76" s="97">
        <f t="shared" ref="F76" si="53">F74-F75</f>
        <v>2434.773418577789</v>
      </c>
    </row>
    <row r="77" spans="1:6" x14ac:dyDescent="0.25">
      <c r="A77" s="54" t="s">
        <v>155</v>
      </c>
      <c r="B77" s="96"/>
      <c r="C77" s="96">
        <f>C73</f>
        <v>5000</v>
      </c>
      <c r="D77" s="96">
        <f t="shared" ref="D77:F77" si="54">D73</f>
        <v>5000</v>
      </c>
      <c r="E77" s="96">
        <f t="shared" si="54"/>
        <v>5000</v>
      </c>
      <c r="F77" s="97">
        <f t="shared" si="54"/>
        <v>5000</v>
      </c>
    </row>
    <row r="78" spans="1:6" x14ac:dyDescent="0.25">
      <c r="A78" s="94" t="s">
        <v>156</v>
      </c>
      <c r="B78" s="95">
        <f>-B63</f>
        <v>-20000</v>
      </c>
      <c r="C78" s="95"/>
      <c r="D78" s="95"/>
      <c r="E78" s="95"/>
      <c r="F78" s="98"/>
    </row>
    <row r="79" spans="1:6" x14ac:dyDescent="0.25">
      <c r="A79" s="94" t="s">
        <v>157</v>
      </c>
      <c r="B79" s="96">
        <f>B76+B77+B78</f>
        <v>-20000</v>
      </c>
      <c r="C79" s="96">
        <f t="shared" ref="C79" si="55">C76+C77+C78</f>
        <v>7434.773418577789</v>
      </c>
      <c r="D79" s="96">
        <f t="shared" ref="D79" si="56">D76+D77+D78</f>
        <v>7434.773418577789</v>
      </c>
      <c r="E79" s="96">
        <f t="shared" ref="E79" si="57">E76+E77+E78</f>
        <v>7434.773418577789</v>
      </c>
      <c r="F79" s="97">
        <f t="shared" ref="F79" si="58">F76+F77+F78</f>
        <v>7434.773418577789</v>
      </c>
    </row>
    <row r="80" spans="1:6" x14ac:dyDescent="0.25">
      <c r="A80" s="54"/>
      <c r="F80" s="99"/>
    </row>
    <row r="81" spans="1:6" x14ac:dyDescent="0.25">
      <c r="A81" s="94" t="s">
        <v>158</v>
      </c>
      <c r="B81" s="102">
        <f>NPV(B65,C79:F79)+B79</f>
        <v>0</v>
      </c>
      <c r="F81" s="99"/>
    </row>
    <row r="82" spans="1:6" ht="16.5" thickBot="1" x14ac:dyDescent="0.3">
      <c r="A82" s="100" t="s">
        <v>159</v>
      </c>
      <c r="B82" s="103">
        <f>IRR(B79:F79)</f>
        <v>0.17999999999999949</v>
      </c>
      <c r="C82" s="38"/>
      <c r="D82" s="38"/>
      <c r="E82" s="38"/>
      <c r="F82" s="101"/>
    </row>
    <row r="85" spans="1:6" x14ac:dyDescent="0.25">
      <c r="A85" t="s">
        <v>163</v>
      </c>
    </row>
    <row r="86" spans="1:6" x14ac:dyDescent="0.25">
      <c r="A86" s="84" t="s">
        <v>137</v>
      </c>
      <c r="B86" s="85" t="s">
        <v>145</v>
      </c>
    </row>
    <row r="87" spans="1:6" x14ac:dyDescent="0.25">
      <c r="A87" s="86" t="s">
        <v>138</v>
      </c>
      <c r="B87" s="87">
        <v>50</v>
      </c>
    </row>
    <row r="88" spans="1:6" x14ac:dyDescent="0.25">
      <c r="A88" s="86" t="s">
        <v>139</v>
      </c>
      <c r="B88" s="88">
        <v>1000</v>
      </c>
    </row>
    <row r="89" spans="1:6" x14ac:dyDescent="0.25">
      <c r="A89" s="86" t="s">
        <v>140</v>
      </c>
      <c r="B89" s="104">
        <v>32.94204430237037</v>
      </c>
    </row>
    <row r="90" spans="1:6" x14ac:dyDescent="0.25">
      <c r="A90" s="86" t="s">
        <v>141</v>
      </c>
      <c r="B90" s="87">
        <v>8000</v>
      </c>
    </row>
    <row r="91" spans="1:6" x14ac:dyDescent="0.25">
      <c r="A91" s="86" t="s">
        <v>142</v>
      </c>
      <c r="B91" s="87">
        <v>20000</v>
      </c>
    </row>
    <row r="92" spans="1:6" x14ac:dyDescent="0.25">
      <c r="A92" s="86" t="s">
        <v>143</v>
      </c>
      <c r="B92" s="89">
        <f>B91/4</f>
        <v>5000</v>
      </c>
    </row>
    <row r="93" spans="1:6" x14ac:dyDescent="0.25">
      <c r="A93" s="86" t="s">
        <v>144</v>
      </c>
      <c r="B93" s="90">
        <v>0.18</v>
      </c>
    </row>
    <row r="94" spans="1:6" ht="16.5" thickBot="1" x14ac:dyDescent="0.3"/>
    <row r="95" spans="1:6" x14ac:dyDescent="0.25">
      <c r="A95" s="91" t="s">
        <v>28</v>
      </c>
      <c r="B95" s="92" t="s">
        <v>29</v>
      </c>
      <c r="C95" s="92" t="s">
        <v>22</v>
      </c>
      <c r="D95" s="92" t="s">
        <v>24</v>
      </c>
      <c r="E95" s="92" t="s">
        <v>25</v>
      </c>
      <c r="F95" s="93" t="s">
        <v>26</v>
      </c>
    </row>
    <row r="96" spans="1:6" x14ac:dyDescent="0.25">
      <c r="A96" s="94" t="s">
        <v>146</v>
      </c>
      <c r="B96" s="95"/>
      <c r="C96" s="96">
        <f>B87*B88</f>
        <v>50000</v>
      </c>
      <c r="D96" s="96">
        <f>C96</f>
        <v>50000</v>
      </c>
      <c r="E96" s="96">
        <f t="shared" ref="E96:F96" si="59">D96</f>
        <v>50000</v>
      </c>
      <c r="F96" s="97">
        <f t="shared" si="59"/>
        <v>50000</v>
      </c>
    </row>
    <row r="97" spans="1:6" x14ac:dyDescent="0.25">
      <c r="A97" s="54" t="s">
        <v>147</v>
      </c>
      <c r="B97" s="95"/>
      <c r="C97" s="95">
        <f>B88*B89</f>
        <v>32942.04430237037</v>
      </c>
      <c r="D97" s="95">
        <f>C97</f>
        <v>32942.04430237037</v>
      </c>
      <c r="E97" s="95">
        <f t="shared" ref="E97:F97" si="60">D97</f>
        <v>32942.04430237037</v>
      </c>
      <c r="F97" s="98">
        <f t="shared" si="60"/>
        <v>32942.04430237037</v>
      </c>
    </row>
    <row r="98" spans="1:6" x14ac:dyDescent="0.25">
      <c r="A98" s="94" t="s">
        <v>148</v>
      </c>
      <c r="B98" s="95"/>
      <c r="C98" s="96">
        <f>C96-C97</f>
        <v>17057.95569762963</v>
      </c>
      <c r="D98" s="96">
        <f t="shared" ref="D98" si="61">D96-D97</f>
        <v>17057.95569762963</v>
      </c>
      <c r="E98" s="96">
        <f t="shared" ref="E98" si="62">E96-E97</f>
        <v>17057.95569762963</v>
      </c>
      <c r="F98" s="97">
        <f t="shared" ref="F98" si="63">F96-F97</f>
        <v>17057.95569762963</v>
      </c>
    </row>
    <row r="99" spans="1:6" x14ac:dyDescent="0.25">
      <c r="A99" s="54" t="s">
        <v>149</v>
      </c>
      <c r="B99" s="95"/>
      <c r="C99" s="95">
        <f>B90</f>
        <v>8000</v>
      </c>
      <c r="D99" s="95">
        <f>C99</f>
        <v>8000</v>
      </c>
      <c r="E99" s="95">
        <f t="shared" ref="E99:F99" si="64">D99</f>
        <v>8000</v>
      </c>
      <c r="F99" s="98">
        <f t="shared" si="64"/>
        <v>8000</v>
      </c>
    </row>
    <row r="100" spans="1:6" x14ac:dyDescent="0.25">
      <c r="A100" s="94" t="s">
        <v>150</v>
      </c>
      <c r="B100" s="95"/>
      <c r="C100" s="96">
        <f>C98-C99</f>
        <v>9057.9556976296299</v>
      </c>
      <c r="D100" s="96">
        <f t="shared" ref="D100" si="65">D98-D99</f>
        <v>9057.9556976296299</v>
      </c>
      <c r="E100" s="96">
        <f t="shared" ref="E100" si="66">E98-E99</f>
        <v>9057.9556976296299</v>
      </c>
      <c r="F100" s="97">
        <f t="shared" ref="F100" si="67">F98-F99</f>
        <v>9057.9556976296299</v>
      </c>
    </row>
    <row r="101" spans="1:6" x14ac:dyDescent="0.25">
      <c r="A101" s="54" t="s">
        <v>151</v>
      </c>
      <c r="B101" s="95"/>
      <c r="C101" s="95">
        <f>B92</f>
        <v>5000</v>
      </c>
      <c r="D101" s="95">
        <f>C101</f>
        <v>5000</v>
      </c>
      <c r="E101" s="95">
        <f t="shared" ref="E101:F101" si="68">D101</f>
        <v>5000</v>
      </c>
      <c r="F101" s="98">
        <f t="shared" si="68"/>
        <v>5000</v>
      </c>
    </row>
    <row r="102" spans="1:6" x14ac:dyDescent="0.25">
      <c r="A102" s="94" t="s">
        <v>152</v>
      </c>
      <c r="B102" s="95"/>
      <c r="C102" s="96">
        <f>C100-C101</f>
        <v>4057.9556976296299</v>
      </c>
      <c r="D102" s="96">
        <f t="shared" ref="D102" si="69">D100-D101</f>
        <v>4057.9556976296299</v>
      </c>
      <c r="E102" s="96">
        <f t="shared" ref="E102" si="70">E100-E101</f>
        <v>4057.9556976296299</v>
      </c>
      <c r="F102" s="97">
        <f t="shared" ref="F102" si="71">F100-F101</f>
        <v>4057.9556976296299</v>
      </c>
    </row>
    <row r="103" spans="1:6" x14ac:dyDescent="0.25">
      <c r="A103" s="54" t="s">
        <v>153</v>
      </c>
      <c r="B103" s="95"/>
      <c r="C103" s="95">
        <f>C102*0.4</f>
        <v>1623.182279051852</v>
      </c>
      <c r="D103" s="95">
        <f t="shared" ref="D103" si="72">D102*0.4</f>
        <v>1623.182279051852</v>
      </c>
      <c r="E103" s="95">
        <f t="shared" ref="E103" si="73">E102*0.4</f>
        <v>1623.182279051852</v>
      </c>
      <c r="F103" s="98">
        <f t="shared" ref="F103" si="74">F102*0.4</f>
        <v>1623.182279051852</v>
      </c>
    </row>
    <row r="104" spans="1:6" x14ac:dyDescent="0.25">
      <c r="A104" s="94" t="s">
        <v>154</v>
      </c>
      <c r="B104" s="95"/>
      <c r="C104" s="96">
        <f>C102-C103</f>
        <v>2434.7734185777781</v>
      </c>
      <c r="D104" s="96">
        <f t="shared" ref="D104" si="75">D102-D103</f>
        <v>2434.7734185777781</v>
      </c>
      <c r="E104" s="96">
        <f t="shared" ref="E104" si="76">E102-E103</f>
        <v>2434.7734185777781</v>
      </c>
      <c r="F104" s="97">
        <f t="shared" ref="F104" si="77">F102-F103</f>
        <v>2434.7734185777781</v>
      </c>
    </row>
    <row r="105" spans="1:6" x14ac:dyDescent="0.25">
      <c r="A105" s="54" t="s">
        <v>155</v>
      </c>
      <c r="B105" s="96"/>
      <c r="C105" s="96">
        <f>C101</f>
        <v>5000</v>
      </c>
      <c r="D105" s="96">
        <f t="shared" ref="D105:F105" si="78">D101</f>
        <v>5000</v>
      </c>
      <c r="E105" s="96">
        <f t="shared" si="78"/>
        <v>5000</v>
      </c>
      <c r="F105" s="97">
        <f t="shared" si="78"/>
        <v>5000</v>
      </c>
    </row>
    <row r="106" spans="1:6" x14ac:dyDescent="0.25">
      <c r="A106" s="94" t="s">
        <v>156</v>
      </c>
      <c r="B106" s="95">
        <f>-B91</f>
        <v>-20000</v>
      </c>
      <c r="C106" s="95"/>
      <c r="D106" s="95"/>
      <c r="E106" s="95"/>
      <c r="F106" s="98"/>
    </row>
    <row r="107" spans="1:6" x14ac:dyDescent="0.25">
      <c r="A107" s="94" t="s">
        <v>157</v>
      </c>
      <c r="B107" s="96">
        <f>B104+B105+B106</f>
        <v>-20000</v>
      </c>
      <c r="C107" s="96">
        <f t="shared" ref="C107" si="79">C104+C105+C106</f>
        <v>7434.7734185777781</v>
      </c>
      <c r="D107" s="96">
        <f t="shared" ref="D107" si="80">D104+D105+D106</f>
        <v>7434.7734185777781</v>
      </c>
      <c r="E107" s="96">
        <f t="shared" ref="E107" si="81">E104+E105+E106</f>
        <v>7434.7734185777781</v>
      </c>
      <c r="F107" s="97">
        <f t="shared" ref="F107" si="82">F104+F105+F106</f>
        <v>7434.7734185777781</v>
      </c>
    </row>
    <row r="108" spans="1:6" x14ac:dyDescent="0.25">
      <c r="A108" s="54"/>
      <c r="F108" s="99"/>
    </row>
    <row r="109" spans="1:6" x14ac:dyDescent="0.25">
      <c r="A109" s="94" t="s">
        <v>158</v>
      </c>
      <c r="B109" s="102">
        <f>NPV(B93,C107:F107)+B107</f>
        <v>-2.9103830456733704E-11</v>
      </c>
      <c r="F109" s="99"/>
    </row>
    <row r="110" spans="1:6" ht="16.5" thickBot="1" x14ac:dyDescent="0.3">
      <c r="A110" s="100" t="s">
        <v>159</v>
      </c>
      <c r="B110" s="103">
        <f>IRR(B107:F107)</f>
        <v>0.17999999999999861</v>
      </c>
      <c r="C110" s="38"/>
      <c r="D110" s="38"/>
      <c r="E110" s="38"/>
      <c r="F110" s="101"/>
    </row>
    <row r="113" spans="1:6" x14ac:dyDescent="0.25">
      <c r="A113" t="s">
        <v>164</v>
      </c>
    </row>
    <row r="114" spans="1:6" x14ac:dyDescent="0.25">
      <c r="A114" s="84" t="s">
        <v>137</v>
      </c>
      <c r="B114" s="85" t="s">
        <v>145</v>
      </c>
    </row>
    <row r="115" spans="1:6" x14ac:dyDescent="0.25">
      <c r="A115" s="86" t="s">
        <v>138</v>
      </c>
      <c r="B115" s="87">
        <v>50</v>
      </c>
    </row>
    <row r="116" spans="1:6" x14ac:dyDescent="0.25">
      <c r="A116" s="86" t="s">
        <v>139</v>
      </c>
      <c r="B116" s="88">
        <v>1000</v>
      </c>
    </row>
    <row r="117" spans="1:6" x14ac:dyDescent="0.25">
      <c r="A117" s="86" t="s">
        <v>140</v>
      </c>
      <c r="B117" s="87">
        <v>30</v>
      </c>
    </row>
    <row r="118" spans="1:6" x14ac:dyDescent="0.25">
      <c r="A118" s="86" t="s">
        <v>141</v>
      </c>
      <c r="B118" s="104">
        <v>10942.04430237035</v>
      </c>
    </row>
    <row r="119" spans="1:6" x14ac:dyDescent="0.25">
      <c r="A119" s="86" t="s">
        <v>142</v>
      </c>
      <c r="B119" s="87">
        <v>20000</v>
      </c>
    </row>
    <row r="120" spans="1:6" x14ac:dyDescent="0.25">
      <c r="A120" s="86" t="s">
        <v>143</v>
      </c>
      <c r="B120" s="89">
        <f>B119/4</f>
        <v>5000</v>
      </c>
    </row>
    <row r="121" spans="1:6" x14ac:dyDescent="0.25">
      <c r="A121" s="86" t="s">
        <v>144</v>
      </c>
      <c r="B121" s="90">
        <v>0.18</v>
      </c>
    </row>
    <row r="122" spans="1:6" ht="16.5" thickBot="1" x14ac:dyDescent="0.3"/>
    <row r="123" spans="1:6" x14ac:dyDescent="0.25">
      <c r="A123" s="91" t="s">
        <v>28</v>
      </c>
      <c r="B123" s="92" t="s">
        <v>29</v>
      </c>
      <c r="C123" s="92" t="s">
        <v>22</v>
      </c>
      <c r="D123" s="92" t="s">
        <v>24</v>
      </c>
      <c r="E123" s="92" t="s">
        <v>25</v>
      </c>
      <c r="F123" s="93" t="s">
        <v>26</v>
      </c>
    </row>
    <row r="124" spans="1:6" x14ac:dyDescent="0.25">
      <c r="A124" s="94" t="s">
        <v>146</v>
      </c>
      <c r="B124" s="95"/>
      <c r="C124" s="96">
        <f>B115*B116</f>
        <v>50000</v>
      </c>
      <c r="D124" s="96">
        <f>C124</f>
        <v>50000</v>
      </c>
      <c r="E124" s="96">
        <f t="shared" ref="E124:F124" si="83">D124</f>
        <v>50000</v>
      </c>
      <c r="F124" s="97">
        <f t="shared" si="83"/>
        <v>50000</v>
      </c>
    </row>
    <row r="125" spans="1:6" x14ac:dyDescent="0.25">
      <c r="A125" s="54" t="s">
        <v>147</v>
      </c>
      <c r="B125" s="95"/>
      <c r="C125" s="95">
        <f>B116*B117</f>
        <v>30000</v>
      </c>
      <c r="D125" s="95">
        <f>C125</f>
        <v>30000</v>
      </c>
      <c r="E125" s="95">
        <f t="shared" ref="E125:F125" si="84">D125</f>
        <v>30000</v>
      </c>
      <c r="F125" s="98">
        <f t="shared" si="84"/>
        <v>30000</v>
      </c>
    </row>
    <row r="126" spans="1:6" x14ac:dyDescent="0.25">
      <c r="A126" s="94" t="s">
        <v>148</v>
      </c>
      <c r="B126" s="95"/>
      <c r="C126" s="96">
        <f>C124-C125</f>
        <v>20000</v>
      </c>
      <c r="D126" s="96">
        <f t="shared" ref="D126" si="85">D124-D125</f>
        <v>20000</v>
      </c>
      <c r="E126" s="96">
        <f t="shared" ref="E126" si="86">E124-E125</f>
        <v>20000</v>
      </c>
      <c r="F126" s="97">
        <f t="shared" ref="F126" si="87">F124-F125</f>
        <v>20000</v>
      </c>
    </row>
    <row r="127" spans="1:6" x14ac:dyDescent="0.25">
      <c r="A127" s="54" t="s">
        <v>149</v>
      </c>
      <c r="B127" s="95"/>
      <c r="C127" s="95">
        <f>B118</f>
        <v>10942.04430237035</v>
      </c>
      <c r="D127" s="95">
        <f>C127</f>
        <v>10942.04430237035</v>
      </c>
      <c r="E127" s="95">
        <f t="shared" ref="E127:F127" si="88">D127</f>
        <v>10942.04430237035</v>
      </c>
      <c r="F127" s="98">
        <f t="shared" si="88"/>
        <v>10942.04430237035</v>
      </c>
    </row>
    <row r="128" spans="1:6" x14ac:dyDescent="0.25">
      <c r="A128" s="94" t="s">
        <v>150</v>
      </c>
      <c r="B128" s="95"/>
      <c r="C128" s="96">
        <f>C126-C127</f>
        <v>9057.9556976296499</v>
      </c>
      <c r="D128" s="96">
        <f t="shared" ref="D128" si="89">D126-D127</f>
        <v>9057.9556976296499</v>
      </c>
      <c r="E128" s="96">
        <f t="shared" ref="E128" si="90">E126-E127</f>
        <v>9057.9556976296499</v>
      </c>
      <c r="F128" s="97">
        <f t="shared" ref="F128" si="91">F126-F127</f>
        <v>9057.9556976296499</v>
      </c>
    </row>
    <row r="129" spans="1:6" x14ac:dyDescent="0.25">
      <c r="A129" s="54" t="s">
        <v>151</v>
      </c>
      <c r="B129" s="95"/>
      <c r="C129" s="95">
        <f>B120</f>
        <v>5000</v>
      </c>
      <c r="D129" s="95">
        <f>C129</f>
        <v>5000</v>
      </c>
      <c r="E129" s="95">
        <f t="shared" ref="E129:F129" si="92">D129</f>
        <v>5000</v>
      </c>
      <c r="F129" s="98">
        <f t="shared" si="92"/>
        <v>5000</v>
      </c>
    </row>
    <row r="130" spans="1:6" x14ac:dyDescent="0.25">
      <c r="A130" s="94" t="s">
        <v>152</v>
      </c>
      <c r="B130" s="95"/>
      <c r="C130" s="96">
        <f>C128-C129</f>
        <v>4057.9556976296499</v>
      </c>
      <c r="D130" s="96">
        <f t="shared" ref="D130" si="93">D128-D129</f>
        <v>4057.9556976296499</v>
      </c>
      <c r="E130" s="96">
        <f t="shared" ref="E130" si="94">E128-E129</f>
        <v>4057.9556976296499</v>
      </c>
      <c r="F130" s="97">
        <f t="shared" ref="F130" si="95">F128-F129</f>
        <v>4057.9556976296499</v>
      </c>
    </row>
    <row r="131" spans="1:6" x14ac:dyDescent="0.25">
      <c r="A131" s="54" t="s">
        <v>153</v>
      </c>
      <c r="B131" s="95"/>
      <c r="C131" s="95">
        <f>C130*0.4</f>
        <v>1623.18227905186</v>
      </c>
      <c r="D131" s="95">
        <f t="shared" ref="D131" si="96">D130*0.4</f>
        <v>1623.18227905186</v>
      </c>
      <c r="E131" s="95">
        <f t="shared" ref="E131" si="97">E130*0.4</f>
        <v>1623.18227905186</v>
      </c>
      <c r="F131" s="98">
        <f t="shared" ref="F131" si="98">F130*0.4</f>
        <v>1623.18227905186</v>
      </c>
    </row>
    <row r="132" spans="1:6" x14ac:dyDescent="0.25">
      <c r="A132" s="94" t="s">
        <v>154</v>
      </c>
      <c r="B132" s="95"/>
      <c r="C132" s="96">
        <f>C130-C131</f>
        <v>2434.7734185777899</v>
      </c>
      <c r="D132" s="96">
        <f t="shared" ref="D132" si="99">D130-D131</f>
        <v>2434.7734185777899</v>
      </c>
      <c r="E132" s="96">
        <f t="shared" ref="E132" si="100">E130-E131</f>
        <v>2434.7734185777899</v>
      </c>
      <c r="F132" s="97">
        <f t="shared" ref="F132" si="101">F130-F131</f>
        <v>2434.7734185777899</v>
      </c>
    </row>
    <row r="133" spans="1:6" x14ac:dyDescent="0.25">
      <c r="A133" s="54" t="s">
        <v>155</v>
      </c>
      <c r="B133" s="96"/>
      <c r="C133" s="96">
        <f>C129</f>
        <v>5000</v>
      </c>
      <c r="D133" s="96">
        <f t="shared" ref="D133:F133" si="102">D129</f>
        <v>5000</v>
      </c>
      <c r="E133" s="96">
        <f t="shared" si="102"/>
        <v>5000</v>
      </c>
      <c r="F133" s="97">
        <f t="shared" si="102"/>
        <v>5000</v>
      </c>
    </row>
    <row r="134" spans="1:6" x14ac:dyDescent="0.25">
      <c r="A134" s="94" t="s">
        <v>156</v>
      </c>
      <c r="B134" s="95">
        <f>-B119</f>
        <v>-20000</v>
      </c>
      <c r="C134" s="95"/>
      <c r="D134" s="95"/>
      <c r="E134" s="95"/>
      <c r="F134" s="98"/>
    </row>
    <row r="135" spans="1:6" x14ac:dyDescent="0.25">
      <c r="A135" s="94" t="s">
        <v>157</v>
      </c>
      <c r="B135" s="96">
        <f>B132+B133+B134</f>
        <v>-20000</v>
      </c>
      <c r="C135" s="96">
        <f t="shared" ref="C135" si="103">C132+C133+C134</f>
        <v>7434.7734185777899</v>
      </c>
      <c r="D135" s="96">
        <f t="shared" ref="D135" si="104">D132+D133+D134</f>
        <v>7434.7734185777899</v>
      </c>
      <c r="E135" s="96">
        <f t="shared" ref="E135" si="105">E132+E133+E134</f>
        <v>7434.7734185777899</v>
      </c>
      <c r="F135" s="97">
        <f t="shared" ref="F135" si="106">F132+F133+F134</f>
        <v>7434.7734185777899</v>
      </c>
    </row>
    <row r="136" spans="1:6" x14ac:dyDescent="0.25">
      <c r="A136" s="54"/>
      <c r="F136" s="99"/>
    </row>
    <row r="137" spans="1:6" x14ac:dyDescent="0.25">
      <c r="A137" s="94" t="s">
        <v>158</v>
      </c>
      <c r="B137" s="102">
        <f>NPV(B121,C135:F135)+B135</f>
        <v>0</v>
      </c>
      <c r="F137" s="99"/>
    </row>
    <row r="138" spans="1:6" ht="16.5" thickBot="1" x14ac:dyDescent="0.3">
      <c r="A138" s="100" t="s">
        <v>159</v>
      </c>
      <c r="B138" s="103">
        <f>IRR(B135:F135)</f>
        <v>0.17999999999999949</v>
      </c>
      <c r="C138" s="38"/>
      <c r="D138" s="38"/>
      <c r="E138" s="38"/>
      <c r="F138" s="101"/>
    </row>
    <row r="141" spans="1:6" x14ac:dyDescent="0.25">
      <c r="A141" t="s">
        <v>165</v>
      </c>
    </row>
    <row r="142" spans="1:6" x14ac:dyDescent="0.25">
      <c r="A142" s="84" t="s">
        <v>137</v>
      </c>
      <c r="B142" s="85" t="s">
        <v>145</v>
      </c>
    </row>
    <row r="143" spans="1:6" x14ac:dyDescent="0.25">
      <c r="A143" s="86" t="s">
        <v>138</v>
      </c>
      <c r="B143" s="87">
        <v>50</v>
      </c>
    </row>
    <row r="144" spans="1:6" x14ac:dyDescent="0.25">
      <c r="A144" s="86" t="s">
        <v>139</v>
      </c>
      <c r="B144" s="88">
        <v>1000</v>
      </c>
    </row>
    <row r="145" spans="1:6" x14ac:dyDescent="0.25">
      <c r="A145" s="86" t="s">
        <v>140</v>
      </c>
      <c r="B145" s="87">
        <v>30</v>
      </c>
    </row>
    <row r="146" spans="1:6" x14ac:dyDescent="0.25">
      <c r="A146" s="86" t="s">
        <v>141</v>
      </c>
      <c r="B146" s="87">
        <v>8000</v>
      </c>
    </row>
    <row r="147" spans="1:6" x14ac:dyDescent="0.25">
      <c r="A147" s="86" t="s">
        <v>142</v>
      </c>
      <c r="B147" s="104">
        <v>26496.044804326535</v>
      </c>
    </row>
    <row r="148" spans="1:6" x14ac:dyDescent="0.25">
      <c r="A148" s="86" t="s">
        <v>143</v>
      </c>
      <c r="B148" s="89">
        <f>B147/4</f>
        <v>6624.0112010816338</v>
      </c>
    </row>
    <row r="149" spans="1:6" x14ac:dyDescent="0.25">
      <c r="A149" s="86" t="s">
        <v>144</v>
      </c>
      <c r="B149" s="90">
        <v>0.18</v>
      </c>
    </row>
    <row r="150" spans="1:6" ht="16.5" thickBot="1" x14ac:dyDescent="0.3"/>
    <row r="151" spans="1:6" x14ac:dyDescent="0.25">
      <c r="A151" s="91" t="s">
        <v>28</v>
      </c>
      <c r="B151" s="92" t="s">
        <v>29</v>
      </c>
      <c r="C151" s="92" t="s">
        <v>22</v>
      </c>
      <c r="D151" s="92" t="s">
        <v>24</v>
      </c>
      <c r="E151" s="92" t="s">
        <v>25</v>
      </c>
      <c r="F151" s="93" t="s">
        <v>26</v>
      </c>
    </row>
    <row r="152" spans="1:6" x14ac:dyDescent="0.25">
      <c r="A152" s="94" t="s">
        <v>146</v>
      </c>
      <c r="B152" s="95"/>
      <c r="C152" s="96">
        <f>B143*B144</f>
        <v>50000</v>
      </c>
      <c r="D152" s="96">
        <f>C152</f>
        <v>50000</v>
      </c>
      <c r="E152" s="96">
        <f t="shared" ref="E152:F152" si="107">D152</f>
        <v>50000</v>
      </c>
      <c r="F152" s="97">
        <f t="shared" si="107"/>
        <v>50000</v>
      </c>
    </row>
    <row r="153" spans="1:6" x14ac:dyDescent="0.25">
      <c r="A153" s="54" t="s">
        <v>147</v>
      </c>
      <c r="B153" s="95"/>
      <c r="C153" s="95">
        <f>B144*B145</f>
        <v>30000</v>
      </c>
      <c r="D153" s="95">
        <f>C153</f>
        <v>30000</v>
      </c>
      <c r="E153" s="95">
        <f t="shared" ref="E153:F153" si="108">D153</f>
        <v>30000</v>
      </c>
      <c r="F153" s="98">
        <f t="shared" si="108"/>
        <v>30000</v>
      </c>
    </row>
    <row r="154" spans="1:6" x14ac:dyDescent="0.25">
      <c r="A154" s="94" t="s">
        <v>148</v>
      </c>
      <c r="B154" s="95"/>
      <c r="C154" s="96">
        <f>C152-C153</f>
        <v>20000</v>
      </c>
      <c r="D154" s="96">
        <f t="shared" ref="D154" si="109">D152-D153</f>
        <v>20000</v>
      </c>
      <c r="E154" s="96">
        <f t="shared" ref="E154" si="110">E152-E153</f>
        <v>20000</v>
      </c>
      <c r="F154" s="97">
        <f t="shared" ref="F154" si="111">F152-F153</f>
        <v>20000</v>
      </c>
    </row>
    <row r="155" spans="1:6" x14ac:dyDescent="0.25">
      <c r="A155" s="54" t="s">
        <v>149</v>
      </c>
      <c r="B155" s="95"/>
      <c r="C155" s="95">
        <f>B146</f>
        <v>8000</v>
      </c>
      <c r="D155" s="95">
        <f>C155</f>
        <v>8000</v>
      </c>
      <c r="E155" s="95">
        <f t="shared" ref="E155:F155" si="112">D155</f>
        <v>8000</v>
      </c>
      <c r="F155" s="98">
        <f t="shared" si="112"/>
        <v>8000</v>
      </c>
    </row>
    <row r="156" spans="1:6" x14ac:dyDescent="0.25">
      <c r="A156" s="94" t="s">
        <v>150</v>
      </c>
      <c r="B156" s="95"/>
      <c r="C156" s="96">
        <f>C154-C155</f>
        <v>12000</v>
      </c>
      <c r="D156" s="96">
        <f t="shared" ref="D156" si="113">D154-D155</f>
        <v>12000</v>
      </c>
      <c r="E156" s="96">
        <f t="shared" ref="E156" si="114">E154-E155</f>
        <v>12000</v>
      </c>
      <c r="F156" s="97">
        <f t="shared" ref="F156" si="115">F154-F155</f>
        <v>12000</v>
      </c>
    </row>
    <row r="157" spans="1:6" x14ac:dyDescent="0.25">
      <c r="A157" s="54" t="s">
        <v>151</v>
      </c>
      <c r="B157" s="95"/>
      <c r="C157" s="95">
        <f>B148</f>
        <v>6624.0112010816338</v>
      </c>
      <c r="D157" s="95">
        <f>C157</f>
        <v>6624.0112010816338</v>
      </c>
      <c r="E157" s="95">
        <f t="shared" ref="E157:F157" si="116">D157</f>
        <v>6624.0112010816338</v>
      </c>
      <c r="F157" s="98">
        <f t="shared" si="116"/>
        <v>6624.0112010816338</v>
      </c>
    </row>
    <row r="158" spans="1:6" x14ac:dyDescent="0.25">
      <c r="A158" s="94" t="s">
        <v>152</v>
      </c>
      <c r="B158" s="95"/>
      <c r="C158" s="96">
        <f>C156-C157</f>
        <v>5375.9887989183662</v>
      </c>
      <c r="D158" s="96">
        <f t="shared" ref="D158" si="117">D156-D157</f>
        <v>5375.9887989183662</v>
      </c>
      <c r="E158" s="96">
        <f t="shared" ref="E158" si="118">E156-E157</f>
        <v>5375.9887989183662</v>
      </c>
      <c r="F158" s="97">
        <f t="shared" ref="F158" si="119">F156-F157</f>
        <v>5375.9887989183662</v>
      </c>
    </row>
    <row r="159" spans="1:6" x14ac:dyDescent="0.25">
      <c r="A159" s="54" t="s">
        <v>153</v>
      </c>
      <c r="B159" s="95"/>
      <c r="C159" s="95">
        <f>C158*0.4</f>
        <v>2150.3955195673466</v>
      </c>
      <c r="D159" s="95">
        <f t="shared" ref="D159" si="120">D158*0.4</f>
        <v>2150.3955195673466</v>
      </c>
      <c r="E159" s="95">
        <f t="shared" ref="E159" si="121">E158*0.4</f>
        <v>2150.3955195673466</v>
      </c>
      <c r="F159" s="98">
        <f t="shared" ref="F159" si="122">F158*0.4</f>
        <v>2150.3955195673466</v>
      </c>
    </row>
    <row r="160" spans="1:6" x14ac:dyDescent="0.25">
      <c r="A160" s="94" t="s">
        <v>154</v>
      </c>
      <c r="B160" s="95"/>
      <c r="C160" s="96">
        <f>C158-C159</f>
        <v>3225.5932793510196</v>
      </c>
      <c r="D160" s="96">
        <f t="shared" ref="D160" si="123">D158-D159</f>
        <v>3225.5932793510196</v>
      </c>
      <c r="E160" s="96">
        <f t="shared" ref="E160" si="124">E158-E159</f>
        <v>3225.5932793510196</v>
      </c>
      <c r="F160" s="97">
        <f t="shared" ref="F160" si="125">F158-F159</f>
        <v>3225.5932793510196</v>
      </c>
    </row>
    <row r="161" spans="1:6" x14ac:dyDescent="0.25">
      <c r="A161" s="54" t="s">
        <v>155</v>
      </c>
      <c r="B161" s="96"/>
      <c r="C161" s="96">
        <f>C157</f>
        <v>6624.0112010816338</v>
      </c>
      <c r="D161" s="96">
        <f t="shared" ref="D161:F161" si="126">D157</f>
        <v>6624.0112010816338</v>
      </c>
      <c r="E161" s="96">
        <f t="shared" si="126"/>
        <v>6624.0112010816338</v>
      </c>
      <c r="F161" s="97">
        <f t="shared" si="126"/>
        <v>6624.0112010816338</v>
      </c>
    </row>
    <row r="162" spans="1:6" x14ac:dyDescent="0.25">
      <c r="A162" s="94" t="s">
        <v>156</v>
      </c>
      <c r="B162" s="95">
        <f>-B147</f>
        <v>-26496.044804326535</v>
      </c>
      <c r="C162" s="95"/>
      <c r="D162" s="95"/>
      <c r="E162" s="95"/>
      <c r="F162" s="98"/>
    </row>
    <row r="163" spans="1:6" x14ac:dyDescent="0.25">
      <c r="A163" s="94" t="s">
        <v>157</v>
      </c>
      <c r="B163" s="96">
        <f>B160+B161+B162</f>
        <v>-26496.044804326535</v>
      </c>
      <c r="C163" s="96">
        <f t="shared" ref="C163" si="127">C160+C161+C162</f>
        <v>9849.6044804326539</v>
      </c>
      <c r="D163" s="96">
        <f t="shared" ref="D163" si="128">D160+D161+D162</f>
        <v>9849.6044804326539</v>
      </c>
      <c r="E163" s="96">
        <f t="shared" ref="E163" si="129">E160+E161+E162</f>
        <v>9849.6044804326539</v>
      </c>
      <c r="F163" s="97">
        <f t="shared" ref="F163" si="130">F160+F161+F162</f>
        <v>9849.6044804326539</v>
      </c>
    </row>
    <row r="164" spans="1:6" x14ac:dyDescent="0.25">
      <c r="A164" s="54"/>
      <c r="F164" s="99"/>
    </row>
    <row r="165" spans="1:6" x14ac:dyDescent="0.25">
      <c r="A165" s="94" t="s">
        <v>158</v>
      </c>
      <c r="B165" s="102">
        <f>NPV(B149,C163:F163)+B163</f>
        <v>0</v>
      </c>
      <c r="F165" s="99"/>
    </row>
    <row r="166" spans="1:6" ht="16.5" thickBot="1" x14ac:dyDescent="0.3">
      <c r="A166" s="100" t="s">
        <v>159</v>
      </c>
      <c r="B166" s="103">
        <f>IRR(B163:F163)</f>
        <v>0.17999999999999949</v>
      </c>
      <c r="C166" s="38"/>
      <c r="D166" s="38"/>
      <c r="E166" s="38"/>
      <c r="F166" s="101"/>
    </row>
    <row r="169" spans="1:6" x14ac:dyDescent="0.25">
      <c r="A169" t="s">
        <v>166</v>
      </c>
    </row>
    <row r="170" spans="1:6" x14ac:dyDescent="0.25">
      <c r="A170" s="84" t="s">
        <v>137</v>
      </c>
      <c r="B170" s="85" t="s">
        <v>145</v>
      </c>
    </row>
    <row r="171" spans="1:6" x14ac:dyDescent="0.25">
      <c r="A171" s="86" t="s">
        <v>138</v>
      </c>
      <c r="B171" s="87">
        <v>50</v>
      </c>
    </row>
    <row r="172" spans="1:6" x14ac:dyDescent="0.25">
      <c r="A172" s="86" t="s">
        <v>139</v>
      </c>
      <c r="B172" s="88">
        <v>1000</v>
      </c>
    </row>
    <row r="173" spans="1:6" x14ac:dyDescent="0.25">
      <c r="A173" s="86" t="s">
        <v>140</v>
      </c>
      <c r="B173" s="87">
        <v>30</v>
      </c>
    </row>
    <row r="174" spans="1:6" x14ac:dyDescent="0.25">
      <c r="A174" s="86" t="s">
        <v>141</v>
      </c>
      <c r="B174" s="87">
        <v>8000</v>
      </c>
    </row>
    <row r="175" spans="1:6" x14ac:dyDescent="0.25">
      <c r="A175" s="86" t="s">
        <v>142</v>
      </c>
      <c r="B175" s="87">
        <v>20000</v>
      </c>
    </row>
    <row r="176" spans="1:6" x14ac:dyDescent="0.25">
      <c r="A176" s="86" t="s">
        <v>143</v>
      </c>
      <c r="B176" s="89">
        <f>B175/4</f>
        <v>5000</v>
      </c>
    </row>
    <row r="177" spans="1:6" x14ac:dyDescent="0.25">
      <c r="A177" s="86" t="s">
        <v>144</v>
      </c>
      <c r="B177" s="106">
        <v>0.29789261531913991</v>
      </c>
    </row>
    <row r="178" spans="1:6" ht="16.5" thickBot="1" x14ac:dyDescent="0.3"/>
    <row r="179" spans="1:6" x14ac:dyDescent="0.25">
      <c r="A179" s="91" t="s">
        <v>28</v>
      </c>
      <c r="B179" s="92" t="s">
        <v>29</v>
      </c>
      <c r="C179" s="92" t="s">
        <v>22</v>
      </c>
      <c r="D179" s="92" t="s">
        <v>24</v>
      </c>
      <c r="E179" s="92" t="s">
        <v>25</v>
      </c>
      <c r="F179" s="93" t="s">
        <v>26</v>
      </c>
    </row>
    <row r="180" spans="1:6" x14ac:dyDescent="0.25">
      <c r="A180" s="94" t="s">
        <v>146</v>
      </c>
      <c r="B180" s="95"/>
      <c r="C180" s="96">
        <f>B171*B172</f>
        <v>50000</v>
      </c>
      <c r="D180" s="96">
        <f>C180</f>
        <v>50000</v>
      </c>
      <c r="E180" s="96">
        <f t="shared" ref="E180:F180" si="131">D180</f>
        <v>50000</v>
      </c>
      <c r="F180" s="97">
        <f t="shared" si="131"/>
        <v>50000</v>
      </c>
    </row>
    <row r="181" spans="1:6" x14ac:dyDescent="0.25">
      <c r="A181" s="54" t="s">
        <v>147</v>
      </c>
      <c r="B181" s="95"/>
      <c r="C181" s="95">
        <f>B172*B173</f>
        <v>30000</v>
      </c>
      <c r="D181" s="95">
        <f>C181</f>
        <v>30000</v>
      </c>
      <c r="E181" s="95">
        <f t="shared" ref="E181:F181" si="132">D181</f>
        <v>30000</v>
      </c>
      <c r="F181" s="98">
        <f t="shared" si="132"/>
        <v>30000</v>
      </c>
    </row>
    <row r="182" spans="1:6" x14ac:dyDescent="0.25">
      <c r="A182" s="94" t="s">
        <v>148</v>
      </c>
      <c r="B182" s="95"/>
      <c r="C182" s="96">
        <f>C180-C181</f>
        <v>20000</v>
      </c>
      <c r="D182" s="96">
        <f t="shared" ref="D182" si="133">D180-D181</f>
        <v>20000</v>
      </c>
      <c r="E182" s="96">
        <f t="shared" ref="E182" si="134">E180-E181</f>
        <v>20000</v>
      </c>
      <c r="F182" s="97">
        <f t="shared" ref="F182" si="135">F180-F181</f>
        <v>20000</v>
      </c>
    </row>
    <row r="183" spans="1:6" x14ac:dyDescent="0.25">
      <c r="A183" s="54" t="s">
        <v>149</v>
      </c>
      <c r="B183" s="95"/>
      <c r="C183" s="95">
        <f>B174</f>
        <v>8000</v>
      </c>
      <c r="D183" s="95">
        <f>C183</f>
        <v>8000</v>
      </c>
      <c r="E183" s="95">
        <f t="shared" ref="E183:F183" si="136">D183</f>
        <v>8000</v>
      </c>
      <c r="F183" s="98">
        <f t="shared" si="136"/>
        <v>8000</v>
      </c>
    </row>
    <row r="184" spans="1:6" x14ac:dyDescent="0.25">
      <c r="A184" s="94" t="s">
        <v>150</v>
      </c>
      <c r="B184" s="95"/>
      <c r="C184" s="96">
        <f>C182-C183</f>
        <v>12000</v>
      </c>
      <c r="D184" s="96">
        <f t="shared" ref="D184" si="137">D182-D183</f>
        <v>12000</v>
      </c>
      <c r="E184" s="96">
        <f t="shared" ref="E184" si="138">E182-E183</f>
        <v>12000</v>
      </c>
      <c r="F184" s="97">
        <f t="shared" ref="F184" si="139">F182-F183</f>
        <v>12000</v>
      </c>
    </row>
    <row r="185" spans="1:6" x14ac:dyDescent="0.25">
      <c r="A185" s="54" t="s">
        <v>151</v>
      </c>
      <c r="B185" s="95"/>
      <c r="C185" s="95">
        <f>B176</f>
        <v>5000</v>
      </c>
      <c r="D185" s="95">
        <f>C185</f>
        <v>5000</v>
      </c>
      <c r="E185" s="95">
        <f t="shared" ref="E185:F185" si="140">D185</f>
        <v>5000</v>
      </c>
      <c r="F185" s="98">
        <f t="shared" si="140"/>
        <v>5000</v>
      </c>
    </row>
    <row r="186" spans="1:6" x14ac:dyDescent="0.25">
      <c r="A186" s="94" t="s">
        <v>152</v>
      </c>
      <c r="B186" s="95"/>
      <c r="C186" s="96">
        <f>C184-C185</f>
        <v>7000</v>
      </c>
      <c r="D186" s="96">
        <f t="shared" ref="D186" si="141">D184-D185</f>
        <v>7000</v>
      </c>
      <c r="E186" s="96">
        <f t="shared" ref="E186" si="142">E184-E185</f>
        <v>7000</v>
      </c>
      <c r="F186" s="97">
        <f t="shared" ref="F186" si="143">F184-F185</f>
        <v>7000</v>
      </c>
    </row>
    <row r="187" spans="1:6" x14ac:dyDescent="0.25">
      <c r="A187" s="54" t="s">
        <v>153</v>
      </c>
      <c r="B187" s="95"/>
      <c r="C187" s="95">
        <f>C186*0.4</f>
        <v>2800</v>
      </c>
      <c r="D187" s="95">
        <f t="shared" ref="D187" si="144">D186*0.4</f>
        <v>2800</v>
      </c>
      <c r="E187" s="95">
        <f t="shared" ref="E187" si="145">E186*0.4</f>
        <v>2800</v>
      </c>
      <c r="F187" s="98">
        <f t="shared" ref="F187" si="146">F186*0.4</f>
        <v>2800</v>
      </c>
    </row>
    <row r="188" spans="1:6" x14ac:dyDescent="0.25">
      <c r="A188" s="94" t="s">
        <v>154</v>
      </c>
      <c r="B188" s="95"/>
      <c r="C188" s="96">
        <f>C186-C187</f>
        <v>4200</v>
      </c>
      <c r="D188" s="96">
        <f t="shared" ref="D188" si="147">D186-D187</f>
        <v>4200</v>
      </c>
      <c r="E188" s="96">
        <f t="shared" ref="E188" si="148">E186-E187</f>
        <v>4200</v>
      </c>
      <c r="F188" s="97">
        <f t="shared" ref="F188" si="149">F186-F187</f>
        <v>4200</v>
      </c>
    </row>
    <row r="189" spans="1:6" x14ac:dyDescent="0.25">
      <c r="A189" s="54" t="s">
        <v>155</v>
      </c>
      <c r="B189" s="96"/>
      <c r="C189" s="96">
        <f>C185</f>
        <v>5000</v>
      </c>
      <c r="D189" s="96">
        <f t="shared" ref="D189:F189" si="150">D185</f>
        <v>5000</v>
      </c>
      <c r="E189" s="96">
        <f t="shared" si="150"/>
        <v>5000</v>
      </c>
      <c r="F189" s="97">
        <f t="shared" si="150"/>
        <v>5000</v>
      </c>
    </row>
    <row r="190" spans="1:6" x14ac:dyDescent="0.25">
      <c r="A190" s="94" t="s">
        <v>156</v>
      </c>
      <c r="B190" s="95">
        <f>-B175</f>
        <v>-20000</v>
      </c>
      <c r="C190" s="95"/>
      <c r="D190" s="95"/>
      <c r="E190" s="95"/>
      <c r="F190" s="98"/>
    </row>
    <row r="191" spans="1:6" x14ac:dyDescent="0.25">
      <c r="A191" s="94" t="s">
        <v>157</v>
      </c>
      <c r="B191" s="96">
        <f>B188+B189+B190</f>
        <v>-20000</v>
      </c>
      <c r="C191" s="96">
        <f t="shared" ref="C191" si="151">C188+C189+C190</f>
        <v>9200</v>
      </c>
      <c r="D191" s="96">
        <f t="shared" ref="D191" si="152">D188+D189+D190</f>
        <v>9200</v>
      </c>
      <c r="E191" s="96">
        <f t="shared" ref="E191" si="153">E188+E189+E190</f>
        <v>9200</v>
      </c>
      <c r="F191" s="97">
        <f t="shared" ref="F191" si="154">F188+F189+F190</f>
        <v>9200</v>
      </c>
    </row>
    <row r="192" spans="1:6" x14ac:dyDescent="0.25">
      <c r="A192" s="54"/>
      <c r="F192" s="99"/>
    </row>
    <row r="193" spans="1:6" x14ac:dyDescent="0.25">
      <c r="A193" s="94" t="s">
        <v>158</v>
      </c>
      <c r="B193" s="102">
        <f>NPV(B177,C191:F191)+B191</f>
        <v>3.3164203341584653E-4</v>
      </c>
      <c r="F193" s="99"/>
    </row>
    <row r="194" spans="1:6" ht="16.5" thickBot="1" x14ac:dyDescent="0.3">
      <c r="A194" s="100" t="s">
        <v>159</v>
      </c>
      <c r="B194" s="103">
        <f>IRR(B191:F191)</f>
        <v>0.29789262519064974</v>
      </c>
      <c r="C194" s="38"/>
      <c r="D194" s="38"/>
      <c r="E194" s="38"/>
      <c r="F194" s="101"/>
    </row>
  </sheetData>
  <mergeCells count="1">
    <mergeCell ref="A27:F27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5781-1715-446A-85FA-5CE6ACFBEE45}">
  <dimension ref="A2:F26"/>
  <sheetViews>
    <sheetView workbookViewId="0">
      <selection activeCell="H6" sqref="H6"/>
    </sheetView>
  </sheetViews>
  <sheetFormatPr defaultRowHeight="15.75" x14ac:dyDescent="0.25"/>
  <cols>
    <col min="1" max="1" width="36.75" bestFit="1" customWidth="1"/>
    <col min="2" max="3" width="12.75" bestFit="1" customWidth="1"/>
    <col min="4" max="4" width="15.375" customWidth="1"/>
    <col min="5" max="5" width="15" customWidth="1"/>
    <col min="6" max="6" width="16.25" customWidth="1"/>
    <col min="7" max="7" width="12.75" bestFit="1" customWidth="1"/>
  </cols>
  <sheetData>
    <row r="2" spans="1:6" x14ac:dyDescent="0.25">
      <c r="A2" s="84" t="s">
        <v>137</v>
      </c>
      <c r="B2" s="85" t="s">
        <v>145</v>
      </c>
      <c r="C2" s="156" t="s">
        <v>167</v>
      </c>
      <c r="D2" s="108" t="s">
        <v>168</v>
      </c>
      <c r="E2" s="112" t="s">
        <v>169</v>
      </c>
      <c r="F2" s="115" t="s">
        <v>170</v>
      </c>
    </row>
    <row r="3" spans="1:6" x14ac:dyDescent="0.25">
      <c r="A3" s="86" t="s">
        <v>138</v>
      </c>
      <c r="B3" s="87">
        <v>50</v>
      </c>
      <c r="C3" s="156"/>
      <c r="D3" s="109">
        <v>51.2</v>
      </c>
      <c r="E3" s="77">
        <v>50</v>
      </c>
      <c r="F3" s="116">
        <v>48</v>
      </c>
    </row>
    <row r="4" spans="1:6" x14ac:dyDescent="0.25">
      <c r="A4" s="86" t="s">
        <v>139</v>
      </c>
      <c r="B4" s="88">
        <v>1000</v>
      </c>
      <c r="C4" s="156"/>
      <c r="D4" s="110">
        <v>1100</v>
      </c>
      <c r="E4" s="113">
        <v>1050</v>
      </c>
      <c r="F4" s="117">
        <v>900</v>
      </c>
    </row>
    <row r="5" spans="1:6" x14ac:dyDescent="0.25">
      <c r="A5" s="86" t="s">
        <v>140</v>
      </c>
      <c r="B5" s="87">
        <v>30</v>
      </c>
      <c r="C5" s="156"/>
      <c r="D5" s="109">
        <v>29</v>
      </c>
      <c r="E5" s="77">
        <v>30.9</v>
      </c>
      <c r="F5" s="116">
        <v>31.1</v>
      </c>
    </row>
    <row r="6" spans="1:6" x14ac:dyDescent="0.25">
      <c r="A6" s="86" t="s">
        <v>141</v>
      </c>
      <c r="B6" s="87">
        <v>8000</v>
      </c>
      <c r="C6" s="156"/>
      <c r="D6" s="109">
        <v>7500</v>
      </c>
      <c r="E6" s="77">
        <v>8500</v>
      </c>
      <c r="F6" s="116">
        <v>9000</v>
      </c>
    </row>
    <row r="7" spans="1:6" x14ac:dyDescent="0.25">
      <c r="A7" s="86" t="s">
        <v>142</v>
      </c>
      <c r="B7" s="87">
        <v>20000</v>
      </c>
      <c r="C7" s="156"/>
      <c r="D7" s="109">
        <v>19000</v>
      </c>
      <c r="E7" s="77">
        <v>21000</v>
      </c>
      <c r="F7" s="116">
        <v>22000</v>
      </c>
    </row>
    <row r="8" spans="1:6" x14ac:dyDescent="0.25">
      <c r="A8" s="86" t="s">
        <v>143</v>
      </c>
      <c r="B8" s="89">
        <v>5000</v>
      </c>
      <c r="C8" s="156"/>
      <c r="D8" s="111">
        <f>D7/4</f>
        <v>4750</v>
      </c>
      <c r="E8" s="114">
        <f t="shared" ref="E8:F8" si="0">E7/4</f>
        <v>5250</v>
      </c>
      <c r="F8" s="118">
        <f t="shared" si="0"/>
        <v>5500</v>
      </c>
    </row>
    <row r="9" spans="1:6" x14ac:dyDescent="0.25">
      <c r="A9" s="86" t="s">
        <v>144</v>
      </c>
      <c r="B9" s="107">
        <v>0.18</v>
      </c>
      <c r="C9" s="156"/>
      <c r="D9" s="119">
        <v>0.17</v>
      </c>
      <c r="E9" s="120">
        <v>0.19</v>
      </c>
      <c r="F9" s="76">
        <v>0.2</v>
      </c>
    </row>
    <row r="10" spans="1:6" ht="16.5" thickBot="1" x14ac:dyDescent="0.3"/>
    <row r="11" spans="1:6" x14ac:dyDescent="0.25">
      <c r="A11" s="91" t="s">
        <v>28</v>
      </c>
      <c r="B11" s="92" t="s">
        <v>29</v>
      </c>
      <c r="C11" s="92" t="s">
        <v>22</v>
      </c>
      <c r="D11" s="92" t="s">
        <v>24</v>
      </c>
      <c r="E11" s="92" t="s">
        <v>25</v>
      </c>
      <c r="F11" s="93" t="s">
        <v>26</v>
      </c>
    </row>
    <row r="12" spans="1:6" x14ac:dyDescent="0.25">
      <c r="A12" s="94" t="s">
        <v>146</v>
      </c>
      <c r="B12" s="95"/>
      <c r="C12" s="96">
        <f>B3*B4</f>
        <v>50000</v>
      </c>
      <c r="D12" s="96">
        <f>C12</f>
        <v>50000</v>
      </c>
      <c r="E12" s="96">
        <f t="shared" ref="E12:F13" si="1">D12</f>
        <v>50000</v>
      </c>
      <c r="F12" s="97">
        <f t="shared" si="1"/>
        <v>50000</v>
      </c>
    </row>
    <row r="13" spans="1:6" x14ac:dyDescent="0.25">
      <c r="A13" s="54" t="s">
        <v>147</v>
      </c>
      <c r="B13" s="95"/>
      <c r="C13" s="95">
        <f>B4*B5</f>
        <v>30000</v>
      </c>
      <c r="D13" s="95">
        <f>C13</f>
        <v>30000</v>
      </c>
      <c r="E13" s="95">
        <f t="shared" si="1"/>
        <v>30000</v>
      </c>
      <c r="F13" s="98">
        <f t="shared" si="1"/>
        <v>30000</v>
      </c>
    </row>
    <row r="14" spans="1:6" x14ac:dyDescent="0.25">
      <c r="A14" s="94" t="s">
        <v>148</v>
      </c>
      <c r="B14" s="95"/>
      <c r="C14" s="96">
        <f>C12-C13</f>
        <v>20000</v>
      </c>
      <c r="D14" s="96">
        <f t="shared" ref="D14:F14" si="2">D12-D13</f>
        <v>20000</v>
      </c>
      <c r="E14" s="96">
        <f t="shared" si="2"/>
        <v>20000</v>
      </c>
      <c r="F14" s="97">
        <f t="shared" si="2"/>
        <v>20000</v>
      </c>
    </row>
    <row r="15" spans="1:6" x14ac:dyDescent="0.25">
      <c r="A15" s="54" t="s">
        <v>149</v>
      </c>
      <c r="B15" s="95"/>
      <c r="C15" s="95">
        <f>B6</f>
        <v>8000</v>
      </c>
      <c r="D15" s="95">
        <f>C15</f>
        <v>8000</v>
      </c>
      <c r="E15" s="95">
        <f t="shared" ref="E15:F15" si="3">D15</f>
        <v>8000</v>
      </c>
      <c r="F15" s="98">
        <f t="shared" si="3"/>
        <v>8000</v>
      </c>
    </row>
    <row r="16" spans="1:6" x14ac:dyDescent="0.25">
      <c r="A16" s="94" t="s">
        <v>150</v>
      </c>
      <c r="B16" s="95"/>
      <c r="C16" s="96">
        <f>C14-C15</f>
        <v>12000</v>
      </c>
      <c r="D16" s="96">
        <f t="shared" ref="D16:F16" si="4">D14-D15</f>
        <v>12000</v>
      </c>
      <c r="E16" s="96">
        <f t="shared" si="4"/>
        <v>12000</v>
      </c>
      <c r="F16" s="97">
        <f t="shared" si="4"/>
        <v>12000</v>
      </c>
    </row>
    <row r="17" spans="1:6" x14ac:dyDescent="0.25">
      <c r="A17" s="54" t="s">
        <v>151</v>
      </c>
      <c r="B17" s="95"/>
      <c r="C17" s="95">
        <f>B8</f>
        <v>5000</v>
      </c>
      <c r="D17" s="95">
        <f>C17</f>
        <v>5000</v>
      </c>
      <c r="E17" s="95">
        <f t="shared" ref="E17:F17" si="5">D17</f>
        <v>5000</v>
      </c>
      <c r="F17" s="98">
        <f t="shared" si="5"/>
        <v>5000</v>
      </c>
    </row>
    <row r="18" spans="1:6" x14ac:dyDescent="0.25">
      <c r="A18" s="94" t="s">
        <v>152</v>
      </c>
      <c r="B18" s="95"/>
      <c r="C18" s="96">
        <f>C16-C17</f>
        <v>7000</v>
      </c>
      <c r="D18" s="96">
        <f t="shared" ref="D18:F18" si="6">D16-D17</f>
        <v>7000</v>
      </c>
      <c r="E18" s="96">
        <f t="shared" si="6"/>
        <v>7000</v>
      </c>
      <c r="F18" s="97">
        <f t="shared" si="6"/>
        <v>7000</v>
      </c>
    </row>
    <row r="19" spans="1:6" x14ac:dyDescent="0.25">
      <c r="A19" s="54" t="s">
        <v>153</v>
      </c>
      <c r="B19" s="95"/>
      <c r="C19" s="95">
        <f>C18*0.4</f>
        <v>2800</v>
      </c>
      <c r="D19" s="95">
        <f t="shared" ref="D19:F19" si="7">D18*0.4</f>
        <v>2800</v>
      </c>
      <c r="E19" s="95">
        <f t="shared" si="7"/>
        <v>2800</v>
      </c>
      <c r="F19" s="98">
        <f t="shared" si="7"/>
        <v>2800</v>
      </c>
    </row>
    <row r="20" spans="1:6" x14ac:dyDescent="0.25">
      <c r="A20" s="94" t="s">
        <v>154</v>
      </c>
      <c r="B20" s="95"/>
      <c r="C20" s="96">
        <f>C18-C19</f>
        <v>4200</v>
      </c>
      <c r="D20" s="96">
        <f t="shared" ref="D20:F20" si="8">D18-D19</f>
        <v>4200</v>
      </c>
      <c r="E20" s="96">
        <f t="shared" si="8"/>
        <v>4200</v>
      </c>
      <c r="F20" s="97">
        <f t="shared" si="8"/>
        <v>4200</v>
      </c>
    </row>
    <row r="21" spans="1:6" x14ac:dyDescent="0.25">
      <c r="A21" s="54" t="s">
        <v>155</v>
      </c>
      <c r="B21" s="96"/>
      <c r="C21" s="96">
        <f>C17</f>
        <v>5000</v>
      </c>
      <c r="D21" s="96">
        <f t="shared" ref="D21:F21" si="9">D17</f>
        <v>5000</v>
      </c>
      <c r="E21" s="96">
        <f t="shared" si="9"/>
        <v>5000</v>
      </c>
      <c r="F21" s="97">
        <f t="shared" si="9"/>
        <v>5000</v>
      </c>
    </row>
    <row r="22" spans="1:6" x14ac:dyDescent="0.25">
      <c r="A22" s="94" t="s">
        <v>156</v>
      </c>
      <c r="B22" s="95">
        <f>-B7</f>
        <v>-20000</v>
      </c>
      <c r="C22" s="95"/>
      <c r="D22" s="95"/>
      <c r="E22" s="95"/>
      <c r="F22" s="98"/>
    </row>
    <row r="23" spans="1:6" x14ac:dyDescent="0.25">
      <c r="A23" s="94" t="s">
        <v>157</v>
      </c>
      <c r="B23" s="96">
        <f>B20+B21+B22</f>
        <v>-20000</v>
      </c>
      <c r="C23" s="96">
        <f t="shared" ref="C23:F23" si="10">C20+C21+C22</f>
        <v>9200</v>
      </c>
      <c r="D23" s="96">
        <f t="shared" si="10"/>
        <v>9200</v>
      </c>
      <c r="E23" s="96">
        <f t="shared" si="10"/>
        <v>9200</v>
      </c>
      <c r="F23" s="97">
        <f t="shared" si="10"/>
        <v>9200</v>
      </c>
    </row>
    <row r="24" spans="1:6" x14ac:dyDescent="0.25">
      <c r="A24" s="54"/>
      <c r="F24" s="99"/>
    </row>
    <row r="25" spans="1:6" x14ac:dyDescent="0.25">
      <c r="A25" s="94" t="s">
        <v>158</v>
      </c>
      <c r="B25" s="102">
        <f>NPV(B9,C23:F23)+B23</f>
        <v>4748.5686033452403</v>
      </c>
      <c r="F25" s="99"/>
    </row>
    <row r="26" spans="1:6" ht="16.5" thickBot="1" x14ac:dyDescent="0.3">
      <c r="A26" s="100" t="s">
        <v>159</v>
      </c>
      <c r="B26" s="103">
        <f>IRR(B23:F23)</f>
        <v>0.29789262519064974</v>
      </c>
      <c r="C26" s="38"/>
      <c r="D26" s="38"/>
      <c r="E26" s="38"/>
      <c r="F26" s="101"/>
    </row>
  </sheetData>
  <scenarios current="0" sqref="B25:B26">
    <scenario name="Otimista" locked="1" count="7" user="Fabiano Guasti Lima" comment="Criado por Fabiano Guasti Lima em 07/10/2025">
      <inputCells r="B3" val="51,2" numFmtId="44"/>
      <inputCells r="B4" val="1100" numFmtId="169"/>
      <inputCells r="B5" val="29" numFmtId="44"/>
      <inputCells r="B6" val="8000" numFmtId="44"/>
      <inputCells r="B7" val="19000" numFmtId="44"/>
      <inputCells r="B8" val="4750"/>
      <inputCells r="B9" val="0,17" numFmtId="10"/>
    </scenario>
    <scenario name="Mais Provável" locked="1" count="7" user="Fabiano Guasti Lima" comment="Criado por Fabiano Guasti Lima em 07/10/2025">
      <inputCells r="B3" val="50" numFmtId="44"/>
      <inputCells r="B4" val="1050" numFmtId="169"/>
      <inputCells r="B5" val="30,9" numFmtId="44"/>
      <inputCells r="B6" val="8500" numFmtId="44"/>
      <inputCells r="B7" val="21000" numFmtId="44"/>
      <inputCells r="B8" val="5250"/>
      <inputCells r="B9" val="0,19" numFmtId="10"/>
    </scenario>
    <scenario name="Pessimista" locked="1" count="7" user="Fabiano Guasti Lima" comment="Criado por Fabiano Guasti Lima em 07/10/2025">
      <inputCells r="B3" val="48" numFmtId="44"/>
      <inputCells r="B4" val="900" numFmtId="169"/>
      <inputCells r="B5" val="31,1" numFmtId="44"/>
      <inputCells r="B6" val="9000" numFmtId="44"/>
      <inputCells r="B7" val="22000" numFmtId="44"/>
      <inputCells r="B8" val="5500"/>
      <inputCells r="B9" val="0,2" numFmtId="10"/>
    </scenario>
  </scenarios>
  <mergeCells count="1">
    <mergeCell ref="C2:C9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5C60-BF84-4847-B314-451AF4469BD0}">
  <sheetPr>
    <outlinePr summaryBelow="0"/>
  </sheetPr>
  <dimension ref="B1:I26"/>
  <sheetViews>
    <sheetView showGridLines="0" workbookViewId="0">
      <selection activeCell="I21" sqref="I21"/>
    </sheetView>
  </sheetViews>
  <sheetFormatPr defaultRowHeight="15.75" outlineLevelRow="1" outlineLevelCol="1" x14ac:dyDescent="0.25"/>
  <cols>
    <col min="3" max="3" width="32" bestFit="1" customWidth="1"/>
    <col min="4" max="7" width="12.75" bestFit="1" customWidth="1" outlineLevel="1"/>
    <col min="8" max="8" width="11.75" bestFit="1" customWidth="1"/>
    <col min="9" max="9" width="16.375" bestFit="1" customWidth="1"/>
  </cols>
  <sheetData>
    <row r="1" spans="2:7" ht="16.5" thickBot="1" x14ac:dyDescent="0.3"/>
    <row r="2" spans="2:7" ht="18.75" x14ac:dyDescent="0.3">
      <c r="B2" s="123" t="s">
        <v>175</v>
      </c>
      <c r="C2" s="123"/>
      <c r="D2" s="128"/>
      <c r="E2" s="128"/>
      <c r="F2" s="128"/>
      <c r="G2" s="128"/>
    </row>
    <row r="3" spans="2:7" ht="18.75" collapsed="1" x14ac:dyDescent="0.3">
      <c r="B3" s="122"/>
      <c r="C3" s="122"/>
      <c r="D3" s="129" t="s">
        <v>177</v>
      </c>
      <c r="E3" s="129" t="s">
        <v>171</v>
      </c>
      <c r="F3" s="129" t="s">
        <v>173</v>
      </c>
      <c r="G3" s="129" t="s">
        <v>174</v>
      </c>
    </row>
    <row r="4" spans="2:7" ht="33.75" hidden="1" outlineLevel="1" x14ac:dyDescent="0.25">
      <c r="B4" s="125"/>
      <c r="C4" s="125"/>
      <c r="E4" s="134" t="s">
        <v>172</v>
      </c>
      <c r="F4" s="134" t="s">
        <v>172</v>
      </c>
      <c r="G4" s="134" t="s">
        <v>172</v>
      </c>
    </row>
    <row r="5" spans="2:7" x14ac:dyDescent="0.25">
      <c r="B5" s="126" t="s">
        <v>176</v>
      </c>
      <c r="C5" s="126"/>
      <c r="D5" s="124"/>
      <c r="E5" s="124"/>
      <c r="F5" s="124"/>
      <c r="G5" s="124"/>
    </row>
    <row r="6" spans="2:7" outlineLevel="1" x14ac:dyDescent="0.25">
      <c r="B6" s="125"/>
      <c r="C6" s="125" t="s">
        <v>138</v>
      </c>
      <c r="D6" s="5">
        <v>50</v>
      </c>
      <c r="E6" s="130">
        <v>51.2</v>
      </c>
      <c r="F6" s="130">
        <v>50</v>
      </c>
      <c r="G6" s="130">
        <v>48</v>
      </c>
    </row>
    <row r="7" spans="2:7" outlineLevel="1" x14ac:dyDescent="0.25">
      <c r="B7" s="125"/>
      <c r="C7" s="125" t="s">
        <v>139</v>
      </c>
      <c r="D7" s="51">
        <v>1000</v>
      </c>
      <c r="E7" s="131">
        <v>1100</v>
      </c>
      <c r="F7" s="131">
        <v>1050</v>
      </c>
      <c r="G7" s="131">
        <v>900</v>
      </c>
    </row>
    <row r="8" spans="2:7" outlineLevel="1" x14ac:dyDescent="0.25">
      <c r="B8" s="125"/>
      <c r="C8" s="125" t="s">
        <v>140</v>
      </c>
      <c r="D8" s="5">
        <v>30</v>
      </c>
      <c r="E8" s="130">
        <v>29</v>
      </c>
      <c r="F8" s="130">
        <v>30.9</v>
      </c>
      <c r="G8" s="130">
        <v>31.1</v>
      </c>
    </row>
    <row r="9" spans="2:7" outlineLevel="1" x14ac:dyDescent="0.25">
      <c r="B9" s="125"/>
      <c r="C9" s="125" t="s">
        <v>141</v>
      </c>
      <c r="D9" s="5">
        <v>8000</v>
      </c>
      <c r="E9" s="130">
        <v>8000</v>
      </c>
      <c r="F9" s="130">
        <v>8500</v>
      </c>
      <c r="G9" s="130">
        <v>9000</v>
      </c>
    </row>
    <row r="10" spans="2:7" outlineLevel="1" x14ac:dyDescent="0.25">
      <c r="B10" s="125"/>
      <c r="C10" s="125" t="s">
        <v>142</v>
      </c>
      <c r="D10" s="5">
        <v>20000</v>
      </c>
      <c r="E10" s="130">
        <v>19000</v>
      </c>
      <c r="F10" s="130">
        <v>21000</v>
      </c>
      <c r="G10" s="130">
        <v>22000</v>
      </c>
    </row>
    <row r="11" spans="2:7" outlineLevel="1" x14ac:dyDescent="0.25">
      <c r="B11" s="125"/>
      <c r="C11" s="125" t="s">
        <v>143</v>
      </c>
      <c r="D11">
        <v>5000</v>
      </c>
      <c r="E11" s="132">
        <v>4750</v>
      </c>
      <c r="F11" s="132">
        <v>5250</v>
      </c>
      <c r="G11" s="132">
        <v>5500</v>
      </c>
    </row>
    <row r="12" spans="2:7" outlineLevel="1" x14ac:dyDescent="0.25">
      <c r="B12" s="125"/>
      <c r="C12" s="125" t="s">
        <v>144</v>
      </c>
      <c r="D12" s="20">
        <v>0.18</v>
      </c>
      <c r="E12" s="133">
        <v>0.17</v>
      </c>
      <c r="F12" s="133">
        <v>0.19</v>
      </c>
      <c r="G12" s="133">
        <v>0.2</v>
      </c>
    </row>
    <row r="13" spans="2:7" x14ac:dyDescent="0.25">
      <c r="B13" s="126" t="s">
        <v>178</v>
      </c>
      <c r="C13" s="126"/>
      <c r="D13" s="124"/>
      <c r="E13" s="124"/>
      <c r="F13" s="124"/>
      <c r="G13" s="124"/>
    </row>
    <row r="14" spans="2:7" outlineLevel="1" x14ac:dyDescent="0.25">
      <c r="B14" s="125"/>
      <c r="C14" s="125" t="s">
        <v>158</v>
      </c>
      <c r="D14" s="5">
        <v>4748.5686033452403</v>
      </c>
      <c r="E14" s="5">
        <v>13238.4978421407</v>
      </c>
      <c r="F14" s="5">
        <v>2834.3429922761102</v>
      </c>
      <c r="G14" s="5">
        <v>-6659.1589506172804</v>
      </c>
    </row>
    <row r="15" spans="2:7" ht="16.5" outlineLevel="1" thickBot="1" x14ac:dyDescent="0.3">
      <c r="B15" s="127"/>
      <c r="C15" s="127" t="s">
        <v>159</v>
      </c>
      <c r="D15" s="121">
        <v>0.29789262519065002</v>
      </c>
      <c r="E15" s="121">
        <v>0.49455954357507398</v>
      </c>
      <c r="F15" s="121">
        <v>0.258869449071915</v>
      </c>
      <c r="G15" s="121">
        <v>3.0523074468313399E-2</v>
      </c>
    </row>
    <row r="16" spans="2:7" x14ac:dyDescent="0.25">
      <c r="B16" t="s">
        <v>179</v>
      </c>
    </row>
    <row r="17" spans="2:9" x14ac:dyDescent="0.25">
      <c r="B17" t="s">
        <v>180</v>
      </c>
    </row>
    <row r="18" spans="2:9" x14ac:dyDescent="0.25">
      <c r="B18" t="s">
        <v>181</v>
      </c>
    </row>
    <row r="20" spans="2:9" x14ac:dyDescent="0.25">
      <c r="E20" t="s">
        <v>182</v>
      </c>
      <c r="F20" t="s">
        <v>183</v>
      </c>
      <c r="G20" t="s">
        <v>184</v>
      </c>
      <c r="H20" t="s">
        <v>185</v>
      </c>
      <c r="I20" t="s">
        <v>55</v>
      </c>
    </row>
    <row r="21" spans="2:9" x14ac:dyDescent="0.25">
      <c r="E21" t="s">
        <v>171</v>
      </c>
      <c r="F21" s="52">
        <v>0.3</v>
      </c>
      <c r="G21" s="5">
        <f>E14</f>
        <v>13238.4978421407</v>
      </c>
      <c r="H21" s="5">
        <f>F21*G21</f>
        <v>3971.5493526422097</v>
      </c>
      <c r="I21" s="5">
        <f>(G21-$H$24)^2*F21</f>
        <v>25290581.955884557</v>
      </c>
    </row>
    <row r="22" spans="2:9" x14ac:dyDescent="0.25">
      <c r="E22" t="s">
        <v>173</v>
      </c>
      <c r="F22" s="52">
        <v>0.5</v>
      </c>
      <c r="G22" s="5">
        <f>F14</f>
        <v>2834.3429922761102</v>
      </c>
      <c r="H22" s="5">
        <f t="shared" ref="H22:H23" si="0">F22*G22</f>
        <v>1417.1714961380551</v>
      </c>
      <c r="I22" s="5">
        <f t="shared" ref="I22:I23" si="1">(G22-$H$24)^2*F22</f>
        <v>747309.44221145962</v>
      </c>
    </row>
    <row r="23" spans="2:9" x14ac:dyDescent="0.25">
      <c r="E23" t="s">
        <v>174</v>
      </c>
      <c r="F23" s="52">
        <v>0.2</v>
      </c>
      <c r="G23" s="5">
        <f>G14</f>
        <v>-6659.1589506172804</v>
      </c>
      <c r="H23" s="5">
        <f t="shared" si="0"/>
        <v>-1331.8317901234561</v>
      </c>
      <c r="I23" s="5">
        <f t="shared" si="1"/>
        <v>22966736.987413436</v>
      </c>
    </row>
    <row r="24" spans="2:9" x14ac:dyDescent="0.25">
      <c r="G24" t="s">
        <v>185</v>
      </c>
      <c r="H24" s="5">
        <f>SUM(H21:H23)</f>
        <v>4056.8890586568086</v>
      </c>
    </row>
    <row r="25" spans="2:9" x14ac:dyDescent="0.25">
      <c r="G25" t="s">
        <v>55</v>
      </c>
      <c r="H25" s="2">
        <f>SQRT(SUM(I21:I23))</f>
        <v>7000.3305911584957</v>
      </c>
    </row>
    <row r="26" spans="2:9" x14ac:dyDescent="0.25">
      <c r="G26" t="s">
        <v>40</v>
      </c>
      <c r="H26">
        <f>H25/H24</f>
        <v>1.7255415393282232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11CDFD32BAE4DB6984ACFD1117AAF" ma:contentTypeVersion="16" ma:contentTypeDescription="Crie um novo documento." ma:contentTypeScope="" ma:versionID="e5a9bbd63fbf262578ba03fd80405270">
  <xsd:schema xmlns:xsd="http://www.w3.org/2001/XMLSchema" xmlns:xs="http://www.w3.org/2001/XMLSchema" xmlns:p="http://schemas.microsoft.com/office/2006/metadata/properties" xmlns:ns2="5e253ad8-99bc-4895-b377-eab5d2679348" xmlns:ns3="45bd9b4a-47bd-4c71-9096-100877aa1038" targetNamespace="http://schemas.microsoft.com/office/2006/metadata/properties" ma:root="true" ma:fieldsID="4b31c348399089d26e9ea4df2e2362e0" ns2:_="" ns3:_="">
    <xsd:import namespace="5e253ad8-99bc-4895-b377-eab5d2679348"/>
    <xsd:import namespace="45bd9b4a-47bd-4c71-9096-100877aa103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53ad8-99bc-4895-b377-eab5d26793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329bc3-ce7e-4e75-9c56-962f8f350e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d9b4a-47bd-4c71-9096-100877aa103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1c5c36c-1c45-4119-aa3b-41677bff21c6}" ma:internalName="TaxCatchAll" ma:showField="CatchAllData" ma:web="45bd9b4a-47bd-4c71-9096-100877aa1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53ad8-99bc-4895-b377-eab5d2679348">
      <Terms xmlns="http://schemas.microsoft.com/office/infopath/2007/PartnerControls"/>
    </lcf76f155ced4ddcb4097134ff3c332f>
    <TaxCatchAll xmlns="45bd9b4a-47bd-4c71-9096-100877aa1038" xsi:nil="true"/>
  </documentManagement>
</p:properties>
</file>

<file path=customXml/itemProps1.xml><?xml version="1.0" encoding="utf-8"?>
<ds:datastoreItem xmlns:ds="http://schemas.openxmlformats.org/officeDocument/2006/customXml" ds:itemID="{53C7F3CA-09E6-45B6-9A98-C4A3893EDDE0}"/>
</file>

<file path=customXml/itemProps2.xml><?xml version="1.0" encoding="utf-8"?>
<ds:datastoreItem xmlns:ds="http://schemas.openxmlformats.org/officeDocument/2006/customXml" ds:itemID="{EDA4CA16-390E-4890-AC10-B2EAE5584014}"/>
</file>

<file path=customXml/itemProps3.xml><?xml version="1.0" encoding="utf-8"?>
<ds:datastoreItem xmlns:ds="http://schemas.openxmlformats.org/officeDocument/2006/customXml" ds:itemID="{9CFD2432-1B9C-45AD-985D-CFF801C791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Risco e Volatilidade</vt:lpstr>
      <vt:lpstr>Correlação</vt:lpstr>
      <vt:lpstr>Markowitz</vt:lpstr>
      <vt:lpstr>Cotações - Carteira</vt:lpstr>
      <vt:lpstr>Campanha Marketing</vt:lpstr>
      <vt:lpstr>Risco Crédito</vt:lpstr>
      <vt:lpstr>Risco Operacional</vt:lpstr>
      <vt:lpstr>Exemplo Prob</vt:lpstr>
      <vt:lpstr>Fluxos de Caixa e Riscos</vt:lpstr>
      <vt:lpstr>Análise Sensibilidade</vt:lpstr>
      <vt:lpstr>Resumo do cenário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Guasti Lima</dc:creator>
  <cp:lastModifiedBy>Fabiano Guasti Lima</cp:lastModifiedBy>
  <dcterms:created xsi:type="dcterms:W3CDTF">2022-04-07T15:52:36Z</dcterms:created>
  <dcterms:modified xsi:type="dcterms:W3CDTF">2025-10-08T18:59:33Z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0x010100FD511CDFD32BAE4DB6984ACFD1117AAF</vt:lpwstr>
  </property>
</Properties>
</file>